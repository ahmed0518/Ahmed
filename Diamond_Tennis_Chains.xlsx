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mond Tennis Chains" sheetId="1" state="visible" r:id="rId1"/>
    <sheet name="Missing From Collection" sheetId="2" state="visible" r:id="rId2"/>
  </sheets>
  <definedNames>
    <definedName name="_xlnm._FilterDatabase" localSheetId="0" hidden="1">'Diamond Tennis Chains'!$A$5:$L$114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color rgb="00595959"/>
      <sz val="9"/>
    </font>
    <font>
      <name val="Arial"/>
    </font>
    <font>
      <name val="Arial"/>
      <color rgb="000563C1"/>
      <u val="single"/>
    </font>
    <font>
      <name val="Arial"/>
      <b val="1"/>
    </font>
    <font>
      <name val="Arial"/>
      <b val="1"/>
      <sz val="13"/>
    </font>
  </fonts>
  <fills count="8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C00000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DDEBF7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164" fontId="5" fillId="6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7" fillId="0" borderId="0" pivotButton="0" quotePrefix="0" xfId="0"/>
    <xf numFmtId="0" fontId="5" fillId="0" borderId="0" pivotButton="0" quotePrefix="0" xfId="0"/>
    <xf numFmtId="1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3" fillId="4" borderId="0" pivotButton="0" quotePrefix="0" xfId="0"/>
    <xf numFmtId="0" fontId="5" fillId="5" borderId="0" pivotButton="0" quotePrefix="0" xfId="0"/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raxnyc.com/products/mens-chains-parcel-diamond-tennis-chain-22-inches-2-6-mm-item69818" TargetMode="External" Id="rId1" /><Relationship Type="http://schemas.openxmlformats.org/officeDocument/2006/relationships/hyperlink" Target="https://traxnyc.com/products/mens-chains-3-pointer-parcel-diamond-tennis-chain-19-80gr-21-7-inches-2-4mm-item69823" TargetMode="External" Id="rId2" /><Relationship Type="http://schemas.openxmlformats.org/officeDocument/2006/relationships/hyperlink" Target="https://traxnyc.com/products/mens-chains-14k-yellow-gold-diamond-tennis-chain-18-inches-2-9-mm-item69843" TargetMode="External" Id="rId3" /><Relationship Type="http://schemas.openxmlformats.org/officeDocument/2006/relationships/hyperlink" Target="https://traxnyc.com/products/3-50mm-diamond-tennis-chain" TargetMode="External" Id="rId4" /><Relationship Type="http://schemas.openxmlformats.org/officeDocument/2006/relationships/hyperlink" Target="https://traxnyc.com/products/mens-chains-diamond-tennis-chain-16-inch-2-3mm-item70841" TargetMode="External" Id="rId5" /><Relationship Type="http://schemas.openxmlformats.org/officeDocument/2006/relationships/hyperlink" Target="https://traxnyc.com/products/3-60-mm-diamond-tennis-bracelet" TargetMode="External" Id="rId6" /><Relationship Type="http://schemas.openxmlformats.org/officeDocument/2006/relationships/hyperlink" Target="https://traxnyc.com/products/ladies-necklaces-gold-black-diamond-tennis-necklace-item70346" TargetMode="External" Id="rId7" /><Relationship Type="http://schemas.openxmlformats.org/officeDocument/2006/relationships/hyperlink" Target="https://traxnyc.com/products/ladies-necklaces-3-pointer-flower-motif-diamond-tennis-chain-item69882" TargetMode="External" Id="rId8" /><Relationship Type="http://schemas.openxmlformats.org/officeDocument/2006/relationships/hyperlink" Target="https://traxnyc.com/products/3-90mm-diamond-tennis-chain" TargetMode="External" Id="rId9" /><Relationship Type="http://schemas.openxmlformats.org/officeDocument/2006/relationships/hyperlink" Target="https://traxnyc.com/products/buttercup-tennis-chain-71097" TargetMode="External" Id="rId10" /><Relationship Type="http://schemas.openxmlformats.org/officeDocument/2006/relationships/hyperlink" Target="https://traxnyc.com/products/mens-chains-parcel-diamond-tennis-chain-18-inches-2-5mm-item69824" TargetMode="External" Id="rId11" /><Relationship Type="http://schemas.openxmlformats.org/officeDocument/2006/relationships/hyperlink" Target="https://traxnyc.com/products/mens-chains-diamond-tennis-chain-22-inch-2-3mm-item70837" TargetMode="External" Id="rId12" /><Relationship Type="http://schemas.openxmlformats.org/officeDocument/2006/relationships/hyperlink" Target="https://traxnyc.com/products/mens-chains-diamond-8-pointer-diamond-tennis-chain-lab-item68482" TargetMode="External" Id="rId13" /><Relationship Type="http://schemas.openxmlformats.org/officeDocument/2006/relationships/hyperlink" Target="https://traxnyc.com/products/4-10mm-diamond-tennis-bracelet" TargetMode="External" Id="rId14" /><Relationship Type="http://schemas.openxmlformats.org/officeDocument/2006/relationships/hyperlink" Target="https://traxnyc.com/products/mens-chains-diamond-14k-yellow-gold-diamond-tennis-chain-20-inches-2-0mm-9-98ct-18-50-grams-item66154" TargetMode="External" Id="rId15" /><Relationship Type="http://schemas.openxmlformats.org/officeDocument/2006/relationships/hyperlink" Target="https://traxnyc.com/products/4-30mm-diamond-tennis-chain" TargetMode="External" Id="rId16" /><Relationship Type="http://schemas.openxmlformats.org/officeDocument/2006/relationships/hyperlink" Target="https://traxnyc.com/products/mens-chains-3-pointer-parcel-diamond-tennis-chain-18-inches-2-5mm-item69825" TargetMode="External" Id="rId17" /><Relationship Type="http://schemas.openxmlformats.org/officeDocument/2006/relationships/hyperlink" Target="https://traxnyc.com/products/30-pointer-diamond-tennis-chain-18-inches-lab-71013" TargetMode="External" Id="rId18" /><Relationship Type="http://schemas.openxmlformats.org/officeDocument/2006/relationships/hyperlink" Target="https://traxnyc.com/products/mens-chains-parcel-diamond-tennis-chain-18-5-inches-2-4mm-item69814" TargetMode="External" Id="rId19" /><Relationship Type="http://schemas.openxmlformats.org/officeDocument/2006/relationships/hyperlink" Target="https://traxnyc.com/products/mens-chains-14k-yellow-gold-tennis-chain-7pt-3-3mm-20-inches-69573-item70337" TargetMode="External" Id="rId20" /><Relationship Type="http://schemas.openxmlformats.org/officeDocument/2006/relationships/hyperlink" Target="https://traxnyc.com/products/mens-chains-diamond-10-pointer-diamond-tennis-chain-lab-item69630" TargetMode="External" Id="rId21" /><Relationship Type="http://schemas.openxmlformats.org/officeDocument/2006/relationships/hyperlink" Target="https://traxnyc.com/products/mens-chains-diamond-chains-mini-polar-iced-diamond-chain-30-inches-3mm-item20571" TargetMode="External" Id="rId22" /><Relationship Type="http://schemas.openxmlformats.org/officeDocument/2006/relationships/hyperlink" Target="https://traxnyc.com/products/mens-chains-diamond-12-pointer-diamond-tennis-chain-item68481" TargetMode="External" Id="rId23" /><Relationship Type="http://schemas.openxmlformats.org/officeDocument/2006/relationships/hyperlink" Target="https://traxnyc.com/products/mens-chains-diamond-chain-diamond-tennis-chain-item66039" TargetMode="External" Id="rId24" /><Relationship Type="http://schemas.openxmlformats.org/officeDocument/2006/relationships/hyperlink" Target="https://traxnyc.com/products/mens-chains-7-pointer-diamond-tennis-n-lab-item69154" TargetMode="External" Id="rId25" /><Relationship Type="http://schemas.openxmlformats.org/officeDocument/2006/relationships/hyperlink" Target="https://traxnyc.com/products/mens-chains-diamond-14k-yellow-gold-diamond-tennis-chain-18-inches-2-5mm-7-23ct-19-60-grams-item66403" TargetMode="External" Id="rId26" /><Relationship Type="http://schemas.openxmlformats.org/officeDocument/2006/relationships/hyperlink" Target="https://traxnyc.com/products/mens-chains-parcel-diamond-tennis-chain-21-7-inches-2-4-mm-item69822" TargetMode="External" Id="rId27" /><Relationship Type="http://schemas.openxmlformats.org/officeDocument/2006/relationships/hyperlink" Target="https://traxnyc.com/products/mens-chains-diamond-14k-yellow-gold-diamond-tennis-chain-65283-item65776" TargetMode="External" Id="rId28" /><Relationship Type="http://schemas.openxmlformats.org/officeDocument/2006/relationships/hyperlink" Target="https://traxnyc.com/products/mens-chains-diamond-chain-3-pointer-parcel-diamond-tennis-chain-19-80gr-22-inches-2-5mm-item66816" TargetMode="External" Id="rId29" /><Relationship Type="http://schemas.openxmlformats.org/officeDocument/2006/relationships/hyperlink" Target="https://traxnyc.com/products/ladies-necklaces-diamond-blossom-tennis-chain-item69879" TargetMode="External" Id="rId30" /><Relationship Type="http://schemas.openxmlformats.org/officeDocument/2006/relationships/hyperlink" Target="https://traxnyc.com/products/mens-chains-diamond-7-pointer-diamond-tennis-chain-item69115" TargetMode="External" Id="rId31" /><Relationship Type="http://schemas.openxmlformats.org/officeDocument/2006/relationships/hyperlink" Target="https://traxnyc.com/products/mens-chains-diamond-14k-yellow-gold-tennis-chain-3mm-22-inches-item69573" TargetMode="External" Id="rId32" /><Relationship Type="http://schemas.openxmlformats.org/officeDocument/2006/relationships/hyperlink" Target="https://traxnyc.com/products/mens-chains-diamond-7-pointer-diamond-tennis-chain-lab-item68480" TargetMode="External" Id="rId33" /><Relationship Type="http://schemas.openxmlformats.org/officeDocument/2006/relationships/hyperlink" Target="https://traxnyc.com/products/mens-chains-diamond-7-pointer-diamond-tennis-chain-lab-item68479" TargetMode="External" Id="rId34" /><Relationship Type="http://schemas.openxmlformats.org/officeDocument/2006/relationships/hyperlink" Target="https://traxnyc.com/products/5-30mm-diamond-tennis-chain" TargetMode="External" Id="rId35" /><Relationship Type="http://schemas.openxmlformats.org/officeDocument/2006/relationships/hyperlink" Target="https://traxnyc.com/products/mens-chains-mystic-sparkle-diamond-tennis-chain-item69884" TargetMode="External" Id="rId36" /><Relationship Type="http://schemas.openxmlformats.org/officeDocument/2006/relationships/hyperlink" Target="https://traxnyc.com/products/ladies-necklaces-diamond-10-pointer-diamond-tennis-chain-item69113" TargetMode="External" Id="rId37" /><Relationship Type="http://schemas.openxmlformats.org/officeDocument/2006/relationships/hyperlink" Target="https://traxnyc.com/products/mens-chains-diamond-chain-14k-yellow-gold-tennis-chain-3mm-22-inches-item69500" TargetMode="External" Id="rId38" /><Relationship Type="http://schemas.openxmlformats.org/officeDocument/2006/relationships/hyperlink" Target="https://traxnyc.com/products/mens-chains-diamond-14k-yellow-gold-diamond-tennis-chain-item65777" TargetMode="External" Id="rId39" /><Relationship Type="http://schemas.openxmlformats.org/officeDocument/2006/relationships/hyperlink" Target="https://traxnyc.com/products/mens-chains-diamond-chain-14k-gold-diamond-tennis-chain-item68004" TargetMode="External" Id="rId40" /><Relationship Type="http://schemas.openxmlformats.org/officeDocument/2006/relationships/hyperlink" Target="https://traxnyc.com/products/mens-chains-emerald-cut-diamond-tennis-chain-item69511" TargetMode="External" Id="rId41" /><Relationship Type="http://schemas.openxmlformats.org/officeDocument/2006/relationships/hyperlink" Target="https://traxnyc.com/products/mens-chains-diamond-chain-marina-ice-tennis-chain-item70486" TargetMode="External" Id="rId42" /><Relationship Type="http://schemas.openxmlformats.org/officeDocument/2006/relationships/hyperlink" Target="https://traxnyc.com/products/10-pointer-upside-down-diamond-tennis-chain-70936" TargetMode="External" Id="rId43" /><Relationship Type="http://schemas.openxmlformats.org/officeDocument/2006/relationships/hyperlink" Target="https://traxnyc.com/products/mens-chains-diamond-chain-10-pt-lab-diamond-tennis-chin-item68037" TargetMode="External" Id="rId44" /><Relationship Type="http://schemas.openxmlformats.org/officeDocument/2006/relationships/hyperlink" Target="https://traxnyc.com/products/mens-chains-diamond-chain-14k-gold-2-tone-tennis-chain-item67654" TargetMode="External" Id="rId45" /><Relationship Type="http://schemas.openxmlformats.org/officeDocument/2006/relationships/hyperlink" Target="https://traxnyc.com/products/5-95mm-diamond-tennis-chain" TargetMode="External" Id="rId46" /><Relationship Type="http://schemas.openxmlformats.org/officeDocument/2006/relationships/hyperlink" Target="https://traxnyc.com/products/mens-chains-15-pt-diamond-tennis-n-lab-item70335" TargetMode="External" Id="rId47" /><Relationship Type="http://schemas.openxmlformats.org/officeDocument/2006/relationships/hyperlink" Target="https://traxnyc.com/products/mens-chains-diamond-chain-10-pt-diamond-tennis-chain-lab-item68237" TargetMode="External" Id="rId48" /><Relationship Type="http://schemas.openxmlformats.org/officeDocument/2006/relationships/hyperlink" Target="https://traxnyc.com/products/mens-chains-diamond-10-pointer-diamond-tennis-chain-item69114" TargetMode="External" Id="rId49" /><Relationship Type="http://schemas.openxmlformats.org/officeDocument/2006/relationships/hyperlink" Target="https://traxnyc.com/products/ladies-necklaces-diamond-15-pointer-diamond-tennis-chain-item69112" TargetMode="External" Id="rId50" /><Relationship Type="http://schemas.openxmlformats.org/officeDocument/2006/relationships/hyperlink" Target="https://traxnyc.com/products/mens-chains-diamond-chain-traxnyc-signature-2-pointers-14k-yellow-gold-diamond-tennis-chain-item66009" TargetMode="External" Id="rId51" /><Relationship Type="http://schemas.openxmlformats.org/officeDocument/2006/relationships/hyperlink" Target="https://traxnyc.com/products/ladies-necklaces-diamond-tennis-chain-item69082" TargetMode="External" Id="rId52" /><Relationship Type="http://schemas.openxmlformats.org/officeDocument/2006/relationships/hyperlink" Target="https://traxnyc.com/products/mens-chains-diamond-chain-traxnyc-signature-4-pointers-14k-yellow-gold-diamond-tennis-chain-item66010" TargetMode="External" Id="rId53" /><Relationship Type="http://schemas.openxmlformats.org/officeDocument/2006/relationships/hyperlink" Target="https://traxnyc.com/products/mens-chains-mystic-sparkle-diamond-tennis-chain-item69883" TargetMode="External" Id="rId54" /><Relationship Type="http://schemas.openxmlformats.org/officeDocument/2006/relationships/hyperlink" Target="https://traxnyc.com/products/mens-chains-diamond-chain-15-pointer-diamond-tennis-chain-lab-item68478" TargetMode="External" Id="rId55" /><Relationship Type="http://schemas.openxmlformats.org/officeDocument/2006/relationships/hyperlink" Target="https://traxnyc.com/products/ladies-necklaces-diamond-15-pointer-diamond-tennis-chain-lab-item70087" TargetMode="External" Id="rId56" /><Relationship Type="http://schemas.openxmlformats.org/officeDocument/2006/relationships/hyperlink" Target="https://traxnyc.com/products/mens-chains-diamond-chain-traxnyc-signature-5-pointers-14k-yellow-gold-diamond-tennis-chain-item66008" TargetMode="External" Id="rId57" /><Relationship Type="http://schemas.openxmlformats.org/officeDocument/2006/relationships/hyperlink" Target="https://traxnyc.com/products/mens-chains-diamond-chain-15-pt-diamond-tennis-chain-item68458" TargetMode="External" Id="rId58" /><Relationship Type="http://schemas.openxmlformats.org/officeDocument/2006/relationships/hyperlink" Target="https://traxnyc.com/products/5-70mm-diamond-tennis-chain" TargetMode="External" Id="rId59" /><Relationship Type="http://schemas.openxmlformats.org/officeDocument/2006/relationships/hyperlink" Target="https://traxnyc.com/products/mens-chains-10-pt-diamond-tennis-22-25-inches-3-8-mm-item69827" TargetMode="External" Id="rId60" /><Relationship Type="http://schemas.openxmlformats.org/officeDocument/2006/relationships/hyperlink" Target="https://traxnyc.com/products/mens-chains-15-pointer-diamond-tennis-chain-item69111" TargetMode="External" Id="rId61" /><Relationship Type="http://schemas.openxmlformats.org/officeDocument/2006/relationships/hyperlink" Target="https://traxnyc.com/products/mens-chains-tennis-chain-24-2-inches-4-4-mm-item69844" TargetMode="External" Id="rId62" /><Relationship Type="http://schemas.openxmlformats.org/officeDocument/2006/relationships/hyperlink" Target="https://traxnyc.com/products/mens-chains-14k-gold-diamond-tennis-chain-necklace-22-inches-3-1-mm-item69816" TargetMode="External" Id="rId63" /><Relationship Type="http://schemas.openxmlformats.org/officeDocument/2006/relationships/hyperlink" Target="https://traxnyc.com/products/mens-pendants-diamond-chain-item67895" TargetMode="External" Id="rId64" /><Relationship Type="http://schemas.openxmlformats.org/officeDocument/2006/relationships/hyperlink" Target="https://traxnyc.com/products/mens-chains-30-pointer-diamond-tennis-chain-item69108" TargetMode="External" Id="rId65" /><Relationship Type="http://schemas.openxmlformats.org/officeDocument/2006/relationships/hyperlink" Target="https://traxnyc.com/products/diamond-tennis-chain-70917" TargetMode="External" Id="rId66" /><Relationship Type="http://schemas.openxmlformats.org/officeDocument/2006/relationships/hyperlink" Target="https://traxnyc.com/products/6-20mm-diamond-tennis-chain" TargetMode="External" Id="rId67" /><Relationship Type="http://schemas.openxmlformats.org/officeDocument/2006/relationships/hyperlink" Target="https://traxnyc.com/products/mens-chains-diamond-chain-14k-gold-diamond-tennis-chain-necklace-22-inches-3mm-15-02ct-item66473" TargetMode="External" Id="rId68" /><Relationship Type="http://schemas.openxmlformats.org/officeDocument/2006/relationships/hyperlink" Target="https://traxnyc.com/products/mens-chains-15-pointer-diamond-tennis-chain-item69110" TargetMode="External" Id="rId69" /><Relationship Type="http://schemas.openxmlformats.org/officeDocument/2006/relationships/hyperlink" Target="https://traxnyc.com/products/mens-chains-diamond-chain-prong-diamond-item67749" TargetMode="External" Id="rId70" /><Relationship Type="http://schemas.openxmlformats.org/officeDocument/2006/relationships/hyperlink" Target="https://traxnyc.com/products/mens-chains-diamond-tennis-chain-item69078" TargetMode="External" Id="rId71" /><Relationship Type="http://schemas.openxmlformats.org/officeDocument/2006/relationships/hyperlink" Target="https://traxnyc.com/products/mens-chains-emerald-cut-diamond-tennis-chain-item69509" TargetMode="External" Id="rId72" /><Relationship Type="http://schemas.openxmlformats.org/officeDocument/2006/relationships/hyperlink" Target="https://traxnyc.com/products/mens-chains-20-pointer-diamond-tennis-chain-item69109" TargetMode="External" Id="rId73" /><Relationship Type="http://schemas.openxmlformats.org/officeDocument/2006/relationships/hyperlink" Target="https://traxnyc.com/products/mens-chains-diamond-chain-14k-rose-gold-diamond-tennis-chain-item65081" TargetMode="External" Id="rId74" /><Relationship Type="http://schemas.openxmlformats.org/officeDocument/2006/relationships/hyperlink" Target="https://traxnyc.com/products/mens-chains-tennis-chain-24-25-inches-4-mm-item69826" TargetMode="External" Id="rId75" /><Relationship Type="http://schemas.openxmlformats.org/officeDocument/2006/relationships/hyperlink" Target="https://traxnyc.com/products/6-50mm-diamond-tennis-chain" TargetMode="External" Id="rId76" /><Relationship Type="http://schemas.openxmlformats.org/officeDocument/2006/relationships/hyperlink" Target="https://traxnyc.com/products/mens-chains-diamond-0-065-pointer-parcel-diamond-tennis-chain-item66911" TargetMode="External" Id="rId77" /><Relationship Type="http://schemas.openxmlformats.org/officeDocument/2006/relationships/hyperlink" Target="https://traxnyc.com/products/mens-chains-diamond-14k-yellow-gold-diamond-tennis-chain-item66029" TargetMode="External" Id="rId78" /><Relationship Type="http://schemas.openxmlformats.org/officeDocument/2006/relationships/hyperlink" Target="https://traxnyc.com/products/ladies-necklaces-diamond-20-pt-cvd-diamond-tennis-chain-item67892" TargetMode="External" Id="rId79" /><Relationship Type="http://schemas.openxmlformats.org/officeDocument/2006/relationships/hyperlink" Target="https://traxnyc.com/products/mens-chains-emerald-cut-diamond-tennis-chain-item69510" TargetMode="External" Id="rId80" /><Relationship Type="http://schemas.openxmlformats.org/officeDocument/2006/relationships/hyperlink" Target="https://traxnyc.com/products/mens-chains-diamond-14k-rose-gold-diamond-tennis-chain-item65884" TargetMode="External" Id="rId81" /><Relationship Type="http://schemas.openxmlformats.org/officeDocument/2006/relationships/hyperlink" Target="https://traxnyc.com/products/mens-chains-barbed-wire-diamond-tennis-chain-item69705" TargetMode="External" Id="rId82" /><Relationship Type="http://schemas.openxmlformats.org/officeDocument/2006/relationships/hyperlink" Target="https://traxnyc.com/products/mens-chains-diamond-tennis-chain-item69080" TargetMode="External" Id="rId83" /><Relationship Type="http://schemas.openxmlformats.org/officeDocument/2006/relationships/hyperlink" Target="https://traxnyc.com/products/mens-chains-diamond-chain-traxnyc-signature-7-pointers-14k-yellow-gold-diamond-tennis-chain-item66005" TargetMode="External" Id="rId84" /><Relationship Type="http://schemas.openxmlformats.org/officeDocument/2006/relationships/hyperlink" Target="https://traxnyc.com/products/mens-chains-30-pointer-tennis-chain-item68703" TargetMode="External" Id="rId85" /><Relationship Type="http://schemas.openxmlformats.org/officeDocument/2006/relationships/hyperlink" Target="https://traxnyc.com/products/mens-chains-diamond-25-pointer-diamond-tennis-chain-4-3mm-24-5-inches-item69811" TargetMode="External" Id="rId86" /><Relationship Type="http://schemas.openxmlformats.org/officeDocument/2006/relationships/hyperlink" Target="https://traxnyc.com/products/mens-chains-diamond-chain-25-pointer-diamond-tennis-chain-lab-item68574" TargetMode="External" Id="rId87" /><Relationship Type="http://schemas.openxmlformats.org/officeDocument/2006/relationships/hyperlink" Target="https://traxnyc.com/products/mens-chains-diamond-14k-yellow-gold-diamond-tennis-chain-item66636" TargetMode="External" Id="rId88" /><Relationship Type="http://schemas.openxmlformats.org/officeDocument/2006/relationships/hyperlink" Target="https://traxnyc.com/products/ladies-necklaces-diamond-tennis-chain-item69083" TargetMode="External" Id="rId89" /><Relationship Type="http://schemas.openxmlformats.org/officeDocument/2006/relationships/hyperlink" Target="https://traxnyc.com/products/mens-chains-baguette-beam-necklace-item70687" TargetMode="External" Id="rId90" /><Relationship Type="http://schemas.openxmlformats.org/officeDocument/2006/relationships/hyperlink" Target="https://traxnyc.com/products/mens-chains-80-pt-diamond-tennis-chain-item70401" TargetMode="External" Id="rId91" /><Relationship Type="http://schemas.openxmlformats.org/officeDocument/2006/relationships/hyperlink" Target="https://traxnyc.com/products/mens-chains-40-pt-diamond-tennis-chain-item70338" TargetMode="External" Id="rId92" /><Relationship Type="http://schemas.openxmlformats.org/officeDocument/2006/relationships/hyperlink" Target="https://traxnyc.com/products/80-pointer-diamond-tennis-chain-22-inches-70919" TargetMode="External" Id="rId93" /><Relationship Type="http://schemas.openxmlformats.org/officeDocument/2006/relationships/hyperlink" Target="https://traxnyc.com/products/upside-down-diamond-tennis-chain" TargetMode="External" Id="rId94" /><Relationship Type="http://schemas.openxmlformats.org/officeDocument/2006/relationships/hyperlink" Target="https://traxnyc.com/products/alternating-upside-down-diamond-tennis-chain" TargetMode="External" Id="rId95" /><Relationship Type="http://schemas.openxmlformats.org/officeDocument/2006/relationships/hyperlink" Target="https://traxnyc.com/products/mens-chains-diamond-tennis-chain-item69081" TargetMode="External" Id="rId96" /><Relationship Type="http://schemas.openxmlformats.org/officeDocument/2006/relationships/hyperlink" Target="https://traxnyc.com/products/ladies-necklaces-diamond-20-pt-cvd-diamond-tennis-chain-item67893" TargetMode="External" Id="rId97" /><Relationship Type="http://schemas.openxmlformats.org/officeDocument/2006/relationships/hyperlink" Target="https://traxnyc.com/products/mens-chains-diamond-parcel-diamond-tennis-chain-item67172" TargetMode="External" Id="rId98" /><Relationship Type="http://schemas.openxmlformats.org/officeDocument/2006/relationships/hyperlink" Target="https://traxnyc.com/products/mens-chains-diamond-10-pointer-parcel-diamond-tennis-chain-item67098" TargetMode="External" Id="rId99" /><Relationship Type="http://schemas.openxmlformats.org/officeDocument/2006/relationships/hyperlink" Target="https://traxnyc.com/products/mens-chains-material-emerald-cut-platinum-tennis-chain-item70453" TargetMode="External" Id="rId100" /><Relationship Type="http://schemas.openxmlformats.org/officeDocument/2006/relationships/hyperlink" Target="https://traxnyc.com/products/mens-chains-diamond-traxnyc-signature-15-pointers-14k-white-gold-diamond-tennis-chain-item66597" TargetMode="External" Id="rId101" /><Relationship Type="http://schemas.openxmlformats.org/officeDocument/2006/relationships/hyperlink" Target="https://traxnyc.com/products/mens-chains-diamond-tennis-chain-item69079" TargetMode="External" Id="rId102" /><Relationship Type="http://schemas.openxmlformats.org/officeDocument/2006/relationships/hyperlink" Target="https://traxnyc.com/products/mens-chains-diamond-15-pointer-parcel-diamond-tennis-chain-item67259" TargetMode="External" Id="rId103" /><Relationship Type="http://schemas.openxmlformats.org/officeDocument/2006/relationships/hyperlink" Target="https://traxnyc.com/products/mens-chains-diamond-17-pointer-parcel-diamond-tennis-chain-item67258" TargetMode="External" Id="rId104" /><Relationship Type="http://schemas.openxmlformats.org/officeDocument/2006/relationships/hyperlink" Target="https://traxnyc.com/products/mens-chains-diamond-chain-traxnyc-signature-15-pointers-14k-white-gold-diamond-tennis-chain-item66006" TargetMode="External" Id="rId105" /><Relationship Type="http://schemas.openxmlformats.org/officeDocument/2006/relationships/hyperlink" Target="https://traxnyc.com/products/mens-chains-diamond-chain-traxnyc-signature-15-pointers-14k-yellow-gold-diamond-tennis-chain-item66007" TargetMode="External" Id="rId106" /><Relationship Type="http://schemas.openxmlformats.org/officeDocument/2006/relationships/hyperlink" Target="https://traxnyc.com/products/mens-chains-diamond-15-pointers-14k-yellow-gold-diamond-tennis-chain-item66684" TargetMode="External" Id="rId107" /><Relationship Type="http://schemas.openxmlformats.org/officeDocument/2006/relationships/hyperlink" Target="https://traxnyc.com/products/mens-chains-diamond-26-pointer-diamond-tennis-chain-53-70-gr-18-inches-4mm-item66818" TargetMode="External" Id="rId108" /><Relationship Type="http://schemas.openxmlformats.org/officeDocument/2006/relationships/hyperlink" Target="https://traxnyc.com/products/mens-chains-diamond-chain-26-pointer-diamond-tennis-chain-57-90-gr-19-5-inches-4mm-item66817" TargetMode="External" Id="rId1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9" customWidth="1" min="3" max="3"/>
    <col width="55" customWidth="1" min="4" max="4"/>
    <col width="13" customWidth="1" min="5" max="5"/>
    <col width="14" customWidth="1" min="6" max="6"/>
    <col width="14" customWidth="1" min="7" max="7"/>
    <col width="9" customWidth="1" min="8" max="8"/>
    <col width="8" customWidth="1" min="9" max="9"/>
    <col width="26" customWidth="1" min="10" max="10"/>
    <col width="11" customWidth="1" min="11" max="11"/>
    <col width="9" customWidth="1" min="12" max="12"/>
  </cols>
  <sheetData>
    <row r="1">
      <c r="A1" s="1" t="inlineStr">
        <is>
          <t>Diamond Tennis Chains - Active Items</t>
        </is>
      </c>
    </row>
    <row r="2">
      <c r="A2" s="2" t="inlineStr">
        <is>
          <t>Source: Shopify collection "Diamond Tennis Chains" (traxnyc.com/collections/diamond-tennis-chains), pulled 2026-09-30. Starting price = lowest option price. Photos load from the website (needs Excel 365 and internet).</t>
        </is>
      </c>
    </row>
    <row r="3">
      <c r="A3" s="3" t="inlineStr">
        <is>
          <t>Natural</t>
        </is>
      </c>
      <c r="B3" s="4" t="inlineStr">
        <is>
          <t>Lab-Grown</t>
        </is>
      </c>
      <c r="C3" s="5" t="inlineStr">
        <is>
          <t>Yellow "Fix title" = title needs fixing</t>
        </is>
      </c>
    </row>
    <row r="5">
      <c r="A5" s="6" t="inlineStr">
        <is>
          <t>#</t>
        </is>
      </c>
      <c r="B5" s="6" t="inlineStr">
        <is>
          <t>Photo</t>
        </is>
      </c>
      <c r="C5" s="6" t="inlineStr">
        <is>
          <t>Item #</t>
        </is>
      </c>
      <c r="D5" s="6" t="inlineStr">
        <is>
          <t>Product Name</t>
        </is>
      </c>
      <c r="E5" s="6" t="inlineStr">
        <is>
          <t>Diamond Type</t>
        </is>
      </c>
      <c r="F5" s="6" t="inlineStr">
        <is>
          <t>Starting Price</t>
        </is>
      </c>
      <c r="G5" s="6" t="inlineStr">
        <is>
          <t>Highest Price</t>
        </is>
      </c>
      <c r="H5" s="6" t="inlineStr">
        <is>
          <t>Options</t>
        </is>
      </c>
      <c r="I5" s="6" t="inlineStr">
        <is>
          <t>Stock</t>
        </is>
      </c>
      <c r="J5" s="6" t="inlineStr">
        <is>
          <t>Vendor</t>
        </is>
      </c>
      <c r="K5" s="6" t="inlineStr">
        <is>
          <t>Title Check</t>
        </is>
      </c>
      <c r="L5" s="6" t="inlineStr">
        <is>
          <t>Website Link</t>
        </is>
      </c>
    </row>
    <row r="6" ht="80" customHeight="1">
      <c r="A6" s="7" t="n">
        <v>1</v>
      </c>
      <c r="B6" s="7">
        <f>_xlfn.IMAGE("https://cdn.shopify.com/s/files/1/0642/4313/8648/files/Parcel-Diamond-Tennis-Chain-22-Inches-2.6-mm--69818-Style-1-gallery-dc59483689.jpg?v=1755726765&amp;width=240",,0)</f>
        <v/>
      </c>
      <c r="C6" s="7" t="inlineStr">
        <is>
          <t>69818</t>
        </is>
      </c>
      <c r="D6" s="7" t="inlineStr">
        <is>
          <t>14K Gold Lab-Grown Diamond Tennis Chain 22 Inches 2.2 mm 69818</t>
        </is>
      </c>
      <c r="E6" s="8" t="inlineStr">
        <is>
          <t>Lab-Grown</t>
        </is>
      </c>
      <c r="F6" s="9" t="n">
        <v>5250</v>
      </c>
      <c r="G6" s="9" t="n">
        <v>5250</v>
      </c>
      <c r="H6" s="7" t="n">
        <v>3</v>
      </c>
      <c r="I6" s="7" t="n">
        <v>0</v>
      </c>
      <c r="J6" s="7" t="inlineStr">
        <is>
          <t>AHMED - MOON JEWELRY</t>
        </is>
      </c>
      <c r="K6" s="7" t="inlineStr">
        <is>
          <t>OK</t>
        </is>
      </c>
      <c r="L6" s="10" t="inlineStr">
        <is>
          <t>View</t>
        </is>
      </c>
    </row>
    <row r="7" ht="80" customHeight="1">
      <c r="A7" s="7" t="n">
        <v>2</v>
      </c>
      <c r="B7" s="7">
        <f>_xlfn.IMAGE("https://cdn.shopify.com/s/files/1/0642/4313/8648/files/3-Pointer-Parcel-Diamond-Tennis-Chain-19.80Gr-21.7-Inches-2.4mm-69823-Style-1-gallery-dc59483689.jpg?v=1755726773&amp;width=240",,0)</f>
        <v/>
      </c>
      <c r="C7" s="7" t="inlineStr">
        <is>
          <t>69823</t>
        </is>
      </c>
      <c r="D7" s="7" t="inlineStr">
        <is>
          <t>14K Gold 3 Pointer Parcel Lab-Grown Diamond Tennis Chain 19.80Gr 22 Inches 2.7mm 69823</t>
        </is>
      </c>
      <c r="E7" s="8" t="inlineStr">
        <is>
          <t>Lab-Grown</t>
        </is>
      </c>
      <c r="F7" s="9" t="n">
        <v>5250</v>
      </c>
      <c r="G7" s="9" t="n">
        <v>5250</v>
      </c>
      <c r="H7" s="7" t="n">
        <v>3</v>
      </c>
      <c r="I7" s="7" t="n">
        <v>-2</v>
      </c>
      <c r="J7" s="7" t="inlineStr">
        <is>
          <t>AHMED - MOON JEWELRY</t>
        </is>
      </c>
      <c r="K7" s="7" t="inlineStr">
        <is>
          <t>OK</t>
        </is>
      </c>
      <c r="L7" s="10" t="inlineStr">
        <is>
          <t>View</t>
        </is>
      </c>
    </row>
    <row r="8" ht="80" customHeight="1">
      <c r="A8" s="7" t="n">
        <v>3</v>
      </c>
      <c r="B8" s="7">
        <f>_xlfn.IMAGE("https://cdn.shopify.com/s/files/1/0642/4313/8648/files/14K-Yellow-Gold-Diamond-Tennis-Chain-18-Inches-2.9-mm----69843-Style-1-gallery-48d5f1ab3f.jpg?v=1755726794&amp;width=240",,0)</f>
        <v/>
      </c>
      <c r="C8" s="7" t="inlineStr">
        <is>
          <t>69843</t>
        </is>
      </c>
      <c r="D8" s="7" t="inlineStr">
        <is>
          <t>14K Yellow Gold Lab-Grown Diamond Tennis Chain 2.9 mm 69843</t>
        </is>
      </c>
      <c r="E8" s="8" t="inlineStr">
        <is>
          <t>Lab-Grown</t>
        </is>
      </c>
      <c r="F8" s="9" t="n">
        <v>5500</v>
      </c>
      <c r="G8" s="9" t="n">
        <v>5500</v>
      </c>
      <c r="H8" s="7" t="n">
        <v>1</v>
      </c>
      <c r="I8" s="7" t="n">
        <v>0</v>
      </c>
      <c r="J8" s="7" t="inlineStr">
        <is>
          <t>AHMED - MOON JEWELRY</t>
        </is>
      </c>
      <c r="K8" s="7" t="inlineStr">
        <is>
          <t>OK</t>
        </is>
      </c>
      <c r="L8" s="10" t="inlineStr">
        <is>
          <t>View</t>
        </is>
      </c>
    </row>
    <row r="9" ht="80" customHeight="1">
      <c r="A9" s="7" t="n">
        <v>4</v>
      </c>
      <c r="B9" s="7">
        <f>_xlfn.IMAGE("https://cdn.shopify.com/s/files/1/0642/4313/8648/files/10_Pt_Diamond_Tennis_Chain_71708.png?v=1786548650&amp;width=240",,0)</f>
        <v/>
      </c>
      <c r="C9" s="7" t="inlineStr">
        <is>
          <t>71708</t>
        </is>
      </c>
      <c r="D9" s="7" t="inlineStr">
        <is>
          <t>14K Gold 10 Pt Lab-Grown Diamond Tennis Chain 71708</t>
        </is>
      </c>
      <c r="E9" s="8" t="inlineStr">
        <is>
          <t>Lab-Grown</t>
        </is>
      </c>
      <c r="F9" s="9" t="n">
        <v>5500</v>
      </c>
      <c r="G9" s="9" t="n">
        <v>7300</v>
      </c>
      <c r="H9" s="7" t="n">
        <v>12</v>
      </c>
      <c r="I9" s="7" t="n">
        <v>-4</v>
      </c>
      <c r="J9" s="7" t="inlineStr">
        <is>
          <t>AHMED - MOON JEWELRY</t>
        </is>
      </c>
      <c r="K9" s="7" t="inlineStr">
        <is>
          <t>OK</t>
        </is>
      </c>
      <c r="L9" s="10" t="inlineStr">
        <is>
          <t>View</t>
        </is>
      </c>
    </row>
    <row r="10" ht="80" customHeight="1">
      <c r="A10" s="11" t="n">
        <v>5</v>
      </c>
      <c r="B10" s="11">
        <f>_xlfn.IMAGE("https://cdn.shopify.com/s/files/1/0642/4313/8648/files/Diamond-Tennis-Chain-16-Inch-2.3mm-70841-Style-1-1758233840-gallery-285de498da.jpg?v=1761280319&amp;width=240",,0)</f>
        <v/>
      </c>
      <c r="C10" s="11" t="inlineStr">
        <is>
          <t>70841</t>
        </is>
      </c>
      <c r="D10" s="11" t="inlineStr">
        <is>
          <t>14K Gold Diamond Tennis Chain 16 Inch 2.3mm 70841</t>
        </is>
      </c>
      <c r="E10" s="12" t="inlineStr">
        <is>
          <t>Natural</t>
        </is>
      </c>
      <c r="F10" s="13" t="n">
        <v>5900</v>
      </c>
      <c r="G10" s="13" t="n">
        <v>5900</v>
      </c>
      <c r="H10" s="11" t="n">
        <v>2</v>
      </c>
      <c r="I10" s="11" t="n">
        <v>0</v>
      </c>
      <c r="J10" s="11" t="inlineStr">
        <is>
          <t>AHMED - MOON JEWELRY</t>
        </is>
      </c>
      <c r="K10" s="11" t="inlineStr">
        <is>
          <t>OK</t>
        </is>
      </c>
      <c r="L10" s="14" t="inlineStr">
        <is>
          <t>View</t>
        </is>
      </c>
    </row>
    <row r="11" ht="80" customHeight="1">
      <c r="A11" s="7" t="n">
        <v>6</v>
      </c>
      <c r="B11" s="7">
        <f>_xlfn.IMAGE("https://cdn.shopify.com/s/files/1/0642/4313/8648/files/12_Pt_Diamond_Tennis_Chain_71710.png?v=1786548850&amp;width=240",,0)</f>
        <v/>
      </c>
      <c r="C11" s="7" t="inlineStr">
        <is>
          <t>71710</t>
        </is>
      </c>
      <c r="D11" s="7" t="inlineStr">
        <is>
          <t>14K Gold 12 Pt Lab-Grown Diamond Tennis Chain 71710</t>
        </is>
      </c>
      <c r="E11" s="8" t="inlineStr">
        <is>
          <t>Lab-Grown</t>
        </is>
      </c>
      <c r="F11" s="9" t="n">
        <v>5900</v>
      </c>
      <c r="G11" s="9" t="n">
        <v>7850</v>
      </c>
      <c r="H11" s="7" t="n">
        <v>12</v>
      </c>
      <c r="I11" s="7" t="n">
        <v>-1</v>
      </c>
      <c r="J11" s="7" t="inlineStr">
        <is>
          <t>AHMED - MOON JEWELRY</t>
        </is>
      </c>
      <c r="K11" s="7" t="inlineStr">
        <is>
          <t>OK</t>
        </is>
      </c>
      <c r="L11" s="10" t="inlineStr">
        <is>
          <t>View</t>
        </is>
      </c>
    </row>
    <row r="12" ht="80" customHeight="1">
      <c r="A12" s="11" t="n">
        <v>7</v>
      </c>
      <c r="B12" s="11">
        <f>_xlfn.IMAGE("https://cdn.shopify.com/s/files/1/0642/4313/8648/files/70346_image_01_04775292.jpg?v=1755736688&amp;width=240",,0)</f>
        <v/>
      </c>
      <c r="C12" s="11" t="inlineStr">
        <is>
          <t>70346</t>
        </is>
      </c>
      <c r="D12" s="11" t="inlineStr">
        <is>
          <t>14K Gold Black Diamond Chain 70346</t>
        </is>
      </c>
      <c r="E12" s="12" t="inlineStr">
        <is>
          <t>Natural</t>
        </is>
      </c>
      <c r="F12" s="13" t="n">
        <v>6850</v>
      </c>
      <c r="G12" s="13" t="n">
        <v>6850</v>
      </c>
      <c r="H12" s="11" t="n">
        <v>3</v>
      </c>
      <c r="I12" s="11" t="n">
        <v>1</v>
      </c>
      <c r="J12" s="11" t="inlineStr">
        <is>
          <t>RINA - TraxNYC FACTORY</t>
        </is>
      </c>
      <c r="K12" s="11" t="inlineStr">
        <is>
          <t>OK</t>
        </is>
      </c>
      <c r="L12" s="14" t="inlineStr">
        <is>
          <t>View</t>
        </is>
      </c>
    </row>
    <row r="13" ht="80" customHeight="1">
      <c r="A13" s="7" t="n">
        <v>8</v>
      </c>
      <c r="B13" s="7">
        <f>_xlfn.IMAGE("https://cdn.shopify.com/s/files/1/0642/4313/8648/files/3-pointer-Flower-Motif-Diamond-Tennis-Chain-69882-Style-1-1721249125-gallery-62fa6aed8f.jpg?v=1756321785&amp;width=240",,0)</f>
        <v/>
      </c>
      <c r="C13" s="7" t="inlineStr">
        <is>
          <t>69882</t>
        </is>
      </c>
      <c r="D13" s="7" t="inlineStr">
        <is>
          <t>14K Gold 3 pointer Flower Motif Lab-Grown Diamond Tennis Chain 69882</t>
        </is>
      </c>
      <c r="E13" s="8" t="inlineStr">
        <is>
          <t>Lab-Grown</t>
        </is>
      </c>
      <c r="F13" s="9" t="n">
        <v>7050</v>
      </c>
      <c r="G13" s="9" t="n">
        <v>7050</v>
      </c>
      <c r="H13" s="7" t="n">
        <v>3</v>
      </c>
      <c r="I13" s="7" t="n">
        <v>0</v>
      </c>
      <c r="J13" s="7" t="inlineStr">
        <is>
          <t>AHMED - MOON JEWELRY</t>
        </is>
      </c>
      <c r="K13" s="7" t="inlineStr">
        <is>
          <t>OK</t>
        </is>
      </c>
      <c r="L13" s="10" t="inlineStr">
        <is>
          <t>View</t>
        </is>
      </c>
    </row>
    <row r="14" ht="80" customHeight="1">
      <c r="A14" s="7" t="n">
        <v>9</v>
      </c>
      <c r="B14" s="7">
        <f>_xlfn.IMAGE("https://cdn.shopify.com/s/files/1/0642/4313/8648/files/15_Pt_Diamond_Tennis_Chain_71711.png?v=1786549000&amp;width=240",,0)</f>
        <v/>
      </c>
      <c r="C14" s="7" t="inlineStr">
        <is>
          <t>71711</t>
        </is>
      </c>
      <c r="D14" s="7" t="inlineStr">
        <is>
          <t>14K Gold 15 Pt Lab-Grown Diamond Tennis Chain 71711</t>
        </is>
      </c>
      <c r="E14" s="8" t="inlineStr">
        <is>
          <t>Lab-Grown</t>
        </is>
      </c>
      <c r="F14" s="9" t="n">
        <v>7250</v>
      </c>
      <c r="G14" s="9" t="n">
        <v>9650</v>
      </c>
      <c r="H14" s="7" t="n">
        <v>12</v>
      </c>
      <c r="I14" s="7" t="n">
        <v>-2</v>
      </c>
      <c r="J14" s="7" t="inlineStr">
        <is>
          <t>AHMED - MOON JEWELRY</t>
        </is>
      </c>
      <c r="K14" s="7" t="inlineStr">
        <is>
          <t>OK</t>
        </is>
      </c>
      <c r="L14" s="10" t="inlineStr">
        <is>
          <t>View</t>
        </is>
      </c>
    </row>
    <row r="15" ht="80" customHeight="1">
      <c r="A15" s="7" t="n">
        <v>10</v>
      </c>
      <c r="B15" s="7">
        <f>_xlfn.IMAGE("https://cdn.shopify.com/s/files/1/0642/4313/8648/files/1_b8556a08-842e-41b7-a939-d8dce64aea12.jpg?v=1772817748&amp;width=240",,0)</f>
        <v/>
      </c>
      <c r="C15" s="7" t="inlineStr">
        <is>
          <t>71097</t>
        </is>
      </c>
      <c r="D15" s="7" t="inlineStr">
        <is>
          <t>14K Gold Buttercup Lab-Grown Diamond Tennis Chain 71097</t>
        </is>
      </c>
      <c r="E15" s="8" t="inlineStr">
        <is>
          <t>Lab-Grown</t>
        </is>
      </c>
      <c r="F15" s="9" t="n">
        <v>7500</v>
      </c>
      <c r="G15" s="9" t="n">
        <v>7500</v>
      </c>
      <c r="H15" s="7" t="n">
        <v>3</v>
      </c>
      <c r="I15" s="7" t="n">
        <v>1</v>
      </c>
      <c r="J15" s="7" t="inlineStr">
        <is>
          <t>AHMED - MOON JEWELRY</t>
        </is>
      </c>
      <c r="K15" s="7" t="inlineStr">
        <is>
          <t>OK</t>
        </is>
      </c>
      <c r="L15" s="10" t="inlineStr">
        <is>
          <t>View</t>
        </is>
      </c>
    </row>
    <row r="16" ht="80" customHeight="1">
      <c r="A16" s="11" t="n">
        <v>11</v>
      </c>
      <c r="B16" s="11">
        <f>_xlfn.IMAGE("https://cdn.shopify.com/s/files/1/0642/4313/8648/files/Parcel-Diamond-Tennis-Chain-18-Inches-2.5mm--69824-Style-1-gallery-dc59483689.jpg?v=1755726774&amp;width=240",,0)</f>
        <v/>
      </c>
      <c r="C16" s="11" t="inlineStr">
        <is>
          <t>69824</t>
        </is>
      </c>
      <c r="D16" s="11" t="inlineStr">
        <is>
          <t>14K Gold Parcel Diamond Tennis Chain 18 Inches 2.5mm 69824</t>
        </is>
      </c>
      <c r="E16" s="12" t="inlineStr">
        <is>
          <t>Natural</t>
        </is>
      </c>
      <c r="F16" s="13" t="n">
        <v>7600</v>
      </c>
      <c r="G16" s="13" t="n">
        <v>7600</v>
      </c>
      <c r="H16" s="11" t="n">
        <v>3</v>
      </c>
      <c r="I16" s="11" t="n">
        <v>0</v>
      </c>
      <c r="J16" s="11" t="inlineStr">
        <is>
          <t>AHMED - MOON JEWELRY</t>
        </is>
      </c>
      <c r="K16" s="11" t="inlineStr">
        <is>
          <t>OK</t>
        </is>
      </c>
      <c r="L16" s="14" t="inlineStr">
        <is>
          <t>View</t>
        </is>
      </c>
    </row>
    <row r="17" ht="80" customHeight="1">
      <c r="A17" s="11" t="n">
        <v>12</v>
      </c>
      <c r="B17" s="11">
        <f>_xlfn.IMAGE("https://cdn.shopify.com/s/files/1/0642/4313/8648/files/Diamond-Tennis-Chain-22-Inch-2.3mm-70837-Style-7-1758060291-gallery-285de498da.jpg?v=1761280154&amp;width=240",,0)</f>
        <v/>
      </c>
      <c r="C17" s="11" t="inlineStr">
        <is>
          <t>70837</t>
        </is>
      </c>
      <c r="D17" s="11" t="inlineStr">
        <is>
          <t>14K Gold Diamond Tennis Chain 22 Inch 2.3mm 70837</t>
        </is>
      </c>
      <c r="E17" s="12" t="inlineStr">
        <is>
          <t>Natural</t>
        </is>
      </c>
      <c r="F17" s="13" t="n">
        <v>7900</v>
      </c>
      <c r="G17" s="13" t="n">
        <v>7900</v>
      </c>
      <c r="H17" s="11" t="n">
        <v>2</v>
      </c>
      <c r="I17" s="11" t="n">
        <v>0</v>
      </c>
      <c r="J17" s="11" t="inlineStr">
        <is>
          <t>AHMED - MOON JEWELRY</t>
        </is>
      </c>
      <c r="K17" s="11" t="inlineStr">
        <is>
          <t>OK</t>
        </is>
      </c>
      <c r="L17" s="14" t="inlineStr">
        <is>
          <t>View</t>
        </is>
      </c>
    </row>
    <row r="18" ht="80" customHeight="1">
      <c r="A18" s="7" t="n">
        <v>13</v>
      </c>
      <c r="B18" s="7">
        <f>_xlfn.IMAGE("https://cdn.shopify.com/s/files/1/0642/4313/8648/files/8-Pointer-Diamond-Tennis-Chain-_Lab_-68482-Diamond-1-gallery-a0aa3d4653.jpg?v=1755726297&amp;width=240",,0)</f>
        <v/>
      </c>
      <c r="C18" s="7" t="inlineStr">
        <is>
          <t>68482</t>
        </is>
      </c>
      <c r="D18" s="7" t="inlineStr">
        <is>
          <t>14K Gold 8 Pointer Diamond Tennis Chain (Lab) 68482</t>
        </is>
      </c>
      <c r="E18" s="8" t="inlineStr">
        <is>
          <t>Lab-Grown</t>
        </is>
      </c>
      <c r="F18" s="9" t="n">
        <v>7950</v>
      </c>
      <c r="G18" s="9" t="n">
        <v>7950</v>
      </c>
      <c r="H18" s="7" t="n">
        <v>3</v>
      </c>
      <c r="I18" s="7" t="n">
        <v>1</v>
      </c>
      <c r="J18" s="7" t="inlineStr">
        <is>
          <t>AHMED - TraxNYC CVD</t>
        </is>
      </c>
      <c r="K18" s="7" t="inlineStr">
        <is>
          <t>OK</t>
        </is>
      </c>
      <c r="L18" s="10" t="inlineStr">
        <is>
          <t>View</t>
        </is>
      </c>
    </row>
    <row r="19" ht="80" customHeight="1">
      <c r="A19" s="7" t="n">
        <v>14</v>
      </c>
      <c r="B19" s="7">
        <f>_xlfn.IMAGE("https://cdn.shopify.com/s/files/1/0642/4313/8648/files/20_Pt_Diamond_Tennis_Chain_71712.png?v=1786549160&amp;width=240",,0)</f>
        <v/>
      </c>
      <c r="C19" s="7" t="inlineStr">
        <is>
          <t>71712</t>
        </is>
      </c>
      <c r="D19" s="7" t="inlineStr">
        <is>
          <t>14K Gold 20 Pt Lab-Grown Diamond Tennis Chain 71712</t>
        </is>
      </c>
      <c r="E19" s="8" t="inlineStr">
        <is>
          <t>Lab-Grown</t>
        </is>
      </c>
      <c r="F19" s="9" t="n">
        <v>7950</v>
      </c>
      <c r="G19" s="9" t="n">
        <v>10550</v>
      </c>
      <c r="H19" s="7" t="n">
        <v>12</v>
      </c>
      <c r="I19" s="7" t="n">
        <v>0</v>
      </c>
      <c r="J19" s="7" t="inlineStr">
        <is>
          <t>AHMED - MOON JEWELRY</t>
        </is>
      </c>
      <c r="K19" s="7" t="inlineStr">
        <is>
          <t>OK</t>
        </is>
      </c>
      <c r="L19" s="10" t="inlineStr">
        <is>
          <t>View</t>
        </is>
      </c>
    </row>
    <row r="20" ht="80" customHeight="1">
      <c r="A20" s="11" t="n">
        <v>15</v>
      </c>
      <c r="B20" s="11">
        <f>_xlfn.IMAGE("https://cdn.shopify.com/s/files/1/0642/4313/8648/files/14K-Yellow-Gold-Diamond-Tennis-Chain-20-Inches-2.0mm-9.98ct-18.50-Grams--66154-Diamond-1-gallery-c4f4a58024.jpg?v=1755725281&amp;width=240",,0)</f>
        <v/>
      </c>
      <c r="C20" s="11" t="inlineStr">
        <is>
          <t>66154</t>
        </is>
      </c>
      <c r="D20" s="11" t="inlineStr">
        <is>
          <t>14K Yellow Gold Diamond Tennis 66154</t>
        </is>
      </c>
      <c r="E20" s="12" t="inlineStr">
        <is>
          <t>Natural</t>
        </is>
      </c>
      <c r="F20" s="13" t="n">
        <v>8150</v>
      </c>
      <c r="G20" s="13" t="n">
        <v>8150</v>
      </c>
      <c r="H20" s="11" t="n">
        <v>3</v>
      </c>
      <c r="I20" s="11" t="n">
        <v>0</v>
      </c>
      <c r="J20" s="11" t="inlineStr">
        <is>
          <t>AHMED - MOON JEWELRY</t>
        </is>
      </c>
      <c r="K20" s="15" t="inlineStr">
        <is>
          <t>Fix title</t>
        </is>
      </c>
      <c r="L20" s="14" t="inlineStr">
        <is>
          <t>View</t>
        </is>
      </c>
    </row>
    <row r="21" ht="80" customHeight="1">
      <c r="A21" s="7" t="n">
        <v>16</v>
      </c>
      <c r="B21" s="7">
        <f>_xlfn.IMAGE("https://cdn.shopify.com/s/files/1/0642/4313/8648/files/25_Pt_Diamond_Tennis_Chain_71713.png?v=1786549278&amp;width=240",,0)</f>
        <v/>
      </c>
      <c r="C21" s="7" t="inlineStr">
        <is>
          <t>71713</t>
        </is>
      </c>
      <c r="D21" s="7" t="inlineStr">
        <is>
          <t>14K Gold 25 Pt Lab-Grown Diamond Tennis Chain 71713</t>
        </is>
      </c>
      <c r="E21" s="8" t="inlineStr">
        <is>
          <t>Lab-Grown</t>
        </is>
      </c>
      <c r="F21" s="9" t="n">
        <v>8350</v>
      </c>
      <c r="G21" s="9" t="n">
        <v>11100</v>
      </c>
      <c r="H21" s="7" t="n">
        <v>12</v>
      </c>
      <c r="I21" s="7" t="n">
        <v>-1</v>
      </c>
      <c r="J21" s="7" t="inlineStr">
        <is>
          <t>AHMED - MOON JEWELRY</t>
        </is>
      </c>
      <c r="K21" s="7" t="inlineStr">
        <is>
          <t>OK</t>
        </is>
      </c>
      <c r="L21" s="10" t="inlineStr">
        <is>
          <t>View</t>
        </is>
      </c>
    </row>
    <row r="22" ht="80" customHeight="1">
      <c r="A22" s="11" t="n">
        <v>17</v>
      </c>
      <c r="B22" s="11">
        <f>_xlfn.IMAGE("https://cdn.shopify.com/s/files/1/0642/4313/8648/files/3-Pointer-Parcel-Diamond-Tennis-Chain-18-Inches-2.5mm--69825-Style-1-gallery-dc59483689.jpg?v=1755726776&amp;width=240",,0)</f>
        <v/>
      </c>
      <c r="C22" s="11" t="inlineStr">
        <is>
          <t>69825</t>
        </is>
      </c>
      <c r="D22" s="11" t="inlineStr">
        <is>
          <t>14K Gold 3 Pointer Parcel Diamond Tennis Chain 18 Inches 2.5mm 69825</t>
        </is>
      </c>
      <c r="E22" s="12" t="inlineStr">
        <is>
          <t>Natural</t>
        </is>
      </c>
      <c r="F22" s="13" t="n">
        <v>8500</v>
      </c>
      <c r="G22" s="13" t="n">
        <v>8500</v>
      </c>
      <c r="H22" s="11" t="n">
        <v>3</v>
      </c>
      <c r="I22" s="11" t="n">
        <v>0</v>
      </c>
      <c r="J22" s="11" t="inlineStr">
        <is>
          <t>AHMED - MOON JEWELRY</t>
        </is>
      </c>
      <c r="K22" s="11" t="inlineStr">
        <is>
          <t>OK</t>
        </is>
      </c>
      <c r="L22" s="14" t="inlineStr">
        <is>
          <t>View</t>
        </is>
      </c>
    </row>
    <row r="23" ht="80" customHeight="1">
      <c r="A23" s="7" t="n">
        <v>18</v>
      </c>
      <c r="B23" s="7">
        <f>_xlfn.IMAGE("https://cdn.shopify.com/s/files/1/0642/4313/8648/files/UN-3106_1.jpg?v=1769123662&amp;width=240",,0)</f>
        <v/>
      </c>
      <c r="C23" s="7" t="inlineStr">
        <is>
          <t>71013</t>
        </is>
      </c>
      <c r="D23" s="7" t="inlineStr">
        <is>
          <t>14K Gold 30 Pointer Lab Diamond Tennis Chain 71013</t>
        </is>
      </c>
      <c r="E23" s="8" t="inlineStr">
        <is>
          <t>Lab-Grown</t>
        </is>
      </c>
      <c r="F23" s="9" t="n">
        <v>8500</v>
      </c>
      <c r="G23" s="9" t="n">
        <v>10300</v>
      </c>
      <c r="H23" s="7" t="n">
        <v>9</v>
      </c>
      <c r="I23" s="7" t="n">
        <v>-2</v>
      </c>
      <c r="J23" s="7" t="inlineStr">
        <is>
          <t>AHMED - MOON JEWELRY</t>
        </is>
      </c>
      <c r="K23" s="7" t="inlineStr">
        <is>
          <t>OK</t>
        </is>
      </c>
      <c r="L23" s="10" t="inlineStr">
        <is>
          <t>View</t>
        </is>
      </c>
    </row>
    <row r="24" ht="80" customHeight="1">
      <c r="A24" s="11" t="n">
        <v>19</v>
      </c>
      <c r="B24" s="11">
        <f>_xlfn.IMAGE("https://cdn.shopify.com/s/files/1/0642/4313/8648/files/Parcel-Diamond-Tennis-Chain-18.5-Inches-2.4mm--69814-Style-1-gallery-dc59483689.jpg?v=1755726760&amp;width=240",,0)</f>
        <v/>
      </c>
      <c r="C24" s="11" t="inlineStr">
        <is>
          <t>69814</t>
        </is>
      </c>
      <c r="D24" s="11" t="inlineStr">
        <is>
          <t>14K Gold Diamond Tennis Chain 18 Inches 2.4mm 69814</t>
        </is>
      </c>
      <c r="E24" s="12" t="inlineStr">
        <is>
          <t>Natural</t>
        </is>
      </c>
      <c r="F24" s="13" t="n">
        <v>8650</v>
      </c>
      <c r="G24" s="13" t="n">
        <v>8650</v>
      </c>
      <c r="H24" s="11" t="n">
        <v>3</v>
      </c>
      <c r="I24" s="11" t="n">
        <v>0</v>
      </c>
      <c r="J24" s="11" t="inlineStr">
        <is>
          <t>AHMED - MOON JEWELRY</t>
        </is>
      </c>
      <c r="K24" s="11" t="inlineStr">
        <is>
          <t>OK</t>
        </is>
      </c>
      <c r="L24" s="14" t="inlineStr">
        <is>
          <t>View</t>
        </is>
      </c>
    </row>
    <row r="25" ht="80" customHeight="1">
      <c r="A25" s="7" t="n">
        <v>20</v>
      </c>
      <c r="B25" s="7">
        <f>_xlfn.IMAGE("https://cdn.shopify.com/s/files/1/0642/4313/8648/files/70337_image_01_f30bcfa1.jpg?v=1755736681&amp;width=240",,0)</f>
        <v/>
      </c>
      <c r="C25" s="7" t="inlineStr">
        <is>
          <t>70337</t>
        </is>
      </c>
      <c r="D25" s="7" t="inlineStr">
        <is>
          <t>14K Gold 7PT Lab-Grown Diamond Tennis Chain 3.3mm 20 inches 70337</t>
        </is>
      </c>
      <c r="E25" s="8" t="inlineStr">
        <is>
          <t>Lab-Grown</t>
        </is>
      </c>
      <c r="F25" s="9" t="n">
        <v>8650</v>
      </c>
      <c r="G25" s="9" t="n">
        <v>8650</v>
      </c>
      <c r="H25" s="7" t="n">
        <v>3</v>
      </c>
      <c r="I25" s="7" t="n">
        <v>0</v>
      </c>
      <c r="J25" s="7" t="inlineStr">
        <is>
          <t>AHMED - TraxNYC CVD</t>
        </is>
      </c>
      <c r="K25" s="7" t="inlineStr">
        <is>
          <t>OK</t>
        </is>
      </c>
      <c r="L25" s="10" t="inlineStr">
        <is>
          <t>View</t>
        </is>
      </c>
    </row>
    <row r="26" ht="80" customHeight="1">
      <c r="A26" s="7" t="n">
        <v>21</v>
      </c>
      <c r="B26" s="7">
        <f>_xlfn.IMAGE("https://cdn.shopify.com/s/files/1/0642/4313/8648/files/10-Pointer-Diamond-Tennis-Chain-_Lab_--69630-Diamond-1-gallery-d26b65cd66.jpg?v=1755726670&amp;width=240",,0)</f>
        <v/>
      </c>
      <c r="C26" s="7" t="inlineStr">
        <is>
          <t>69630</t>
        </is>
      </c>
      <c r="D26" s="7" t="inlineStr">
        <is>
          <t>14K Gold 10 Pointer Diamond Tennis Chain (Lab) 69630</t>
        </is>
      </c>
      <c r="E26" s="8" t="inlineStr">
        <is>
          <t>Lab-Grown</t>
        </is>
      </c>
      <c r="F26" s="9" t="n">
        <v>8800</v>
      </c>
      <c r="G26" s="9" t="n">
        <v>8800</v>
      </c>
      <c r="H26" s="7" t="n">
        <v>3</v>
      </c>
      <c r="I26" s="7" t="n">
        <v>1</v>
      </c>
      <c r="J26" s="7" t="inlineStr">
        <is>
          <t>AHMED - TraxNYC CVD</t>
        </is>
      </c>
      <c r="K26" s="7" t="inlineStr">
        <is>
          <t>OK</t>
        </is>
      </c>
      <c r="L26" s="10" t="inlineStr">
        <is>
          <t>View</t>
        </is>
      </c>
    </row>
    <row r="27" ht="80" customHeight="1">
      <c r="A27" s="11" t="n">
        <v>22</v>
      </c>
      <c r="B27" s="11">
        <f>_xlfn.IMAGE("https://cdn.shopify.com/s/files/1/0642/4313/8648/files/20571_2_e6da4e08-d185-49fc-ad06-37c3c4daf9b3.jpg?v=1771541597&amp;width=240",,0)</f>
        <v/>
      </c>
      <c r="C27" s="11" t="inlineStr">
        <is>
          <t>20571</t>
        </is>
      </c>
      <c r="D27" s="11" t="inlineStr">
        <is>
          <t>10K Gold Buttercup Tennis Necklace 20571</t>
        </is>
      </c>
      <c r="E27" s="12" t="inlineStr">
        <is>
          <t>Natural</t>
        </is>
      </c>
      <c r="F27" s="13" t="n">
        <v>8850</v>
      </c>
      <c r="G27" s="13" t="n">
        <v>8850</v>
      </c>
      <c r="H27" s="11" t="n">
        <v>3</v>
      </c>
      <c r="I27" s="11" t="n">
        <v>4</v>
      </c>
      <c r="J27" s="11" t="inlineStr">
        <is>
          <t>RINA - TraxNYC FACTORY</t>
        </is>
      </c>
      <c r="K27" s="11" t="inlineStr">
        <is>
          <t>OK</t>
        </is>
      </c>
      <c r="L27" s="14" t="inlineStr">
        <is>
          <t>View</t>
        </is>
      </c>
    </row>
    <row r="28" ht="80" customHeight="1">
      <c r="A28" s="7" t="n">
        <v>23</v>
      </c>
      <c r="B28" s="7">
        <f>_xlfn.IMAGE("https://cdn.shopify.com/s/files/1/0642/4313/8648/files/12-Pointer-Diamond-Tennis-Chain-68481-Diamond-1-gallery-71c2c2d19b.jpg?v=1755726295&amp;width=240",,0)</f>
        <v/>
      </c>
      <c r="C28" s="7" t="inlineStr">
        <is>
          <t>68481</t>
        </is>
      </c>
      <c r="D28" s="7" t="inlineStr">
        <is>
          <t>14K Gold 12 Pointer Lab-Grown Diamond Tennis Chain 68481</t>
        </is>
      </c>
      <c r="E28" s="8" t="inlineStr">
        <is>
          <t>Lab-Grown</t>
        </is>
      </c>
      <c r="F28" s="9" t="n">
        <v>8900</v>
      </c>
      <c r="G28" s="9" t="n">
        <v>8900</v>
      </c>
      <c r="H28" s="7" t="n">
        <v>3</v>
      </c>
      <c r="I28" s="7" t="n">
        <v>0</v>
      </c>
      <c r="J28" s="7" t="inlineStr">
        <is>
          <t>AHMED - TraxNYC CVD</t>
        </is>
      </c>
      <c r="K28" s="7" t="inlineStr">
        <is>
          <t>OK</t>
        </is>
      </c>
      <c r="L28" s="10" t="inlineStr">
        <is>
          <t>View</t>
        </is>
      </c>
    </row>
    <row r="29" ht="80" customHeight="1">
      <c r="A29" s="11" t="n">
        <v>24</v>
      </c>
      <c r="B29" s="11">
        <f>_xlfn.IMAGE("https://cdn.shopify.com/s/files/1/0642/4313/8648/files/Diamond-Tennis-Chain-66039-Diamond-1-gallery-512919317c.jpg?v=1755725229&amp;width=240",,0)</f>
        <v/>
      </c>
      <c r="C29" s="11" t="inlineStr">
        <is>
          <t>66039</t>
        </is>
      </c>
      <c r="D29" s="11" t="inlineStr">
        <is>
          <t>14K Gold Illusion Diamond Tennis Chain 24 Inches 3mm 66039</t>
        </is>
      </c>
      <c r="E29" s="12" t="inlineStr">
        <is>
          <t>Natural</t>
        </is>
      </c>
      <c r="F29" s="13" t="n">
        <v>9000</v>
      </c>
      <c r="G29" s="13" t="n">
        <v>9000</v>
      </c>
      <c r="H29" s="11" t="n">
        <v>3</v>
      </c>
      <c r="I29" s="11" t="n">
        <v>0</v>
      </c>
      <c r="J29" s="11" t="inlineStr">
        <is>
          <t>RINA - TraxNYC FACTORY</t>
        </is>
      </c>
      <c r="K29" s="11" t="inlineStr">
        <is>
          <t>OK</t>
        </is>
      </c>
      <c r="L29" s="14" t="inlineStr">
        <is>
          <t>View</t>
        </is>
      </c>
    </row>
    <row r="30" ht="80" customHeight="1">
      <c r="A30" s="7" t="n">
        <v>25</v>
      </c>
      <c r="B30" s="7">
        <f>_xlfn.IMAGE("https://cdn.shopify.com/s/files/1/0642/4313/8648/files/7-Pointer-Diamond-Tennis-n-_Lab_--69154-Style-1-gallery-a0aa3d4653_76bee946-8f9d-4a3d-8158-4ba188ded9d6.jpg?v=1755807283&amp;width=240",,0)</f>
        <v/>
      </c>
      <c r="C30" s="7" t="inlineStr">
        <is>
          <t>69154</t>
        </is>
      </c>
      <c r="D30" s="7" t="inlineStr">
        <is>
          <t>14K Gold 7 Pointer Diamond Tennis Chain (Lab) 69154</t>
        </is>
      </c>
      <c r="E30" s="8" t="inlineStr">
        <is>
          <t>Lab-Grown</t>
        </is>
      </c>
      <c r="F30" s="9" t="n">
        <v>9500</v>
      </c>
      <c r="G30" s="9" t="n">
        <v>9500</v>
      </c>
      <c r="H30" s="7" t="n">
        <v>3</v>
      </c>
      <c r="I30" s="7" t="n">
        <v>0</v>
      </c>
      <c r="J30" s="7" t="inlineStr">
        <is>
          <t>AHMED - TraxNYC CVD</t>
        </is>
      </c>
      <c r="K30" s="7" t="inlineStr">
        <is>
          <t>OK</t>
        </is>
      </c>
      <c r="L30" s="10" t="inlineStr">
        <is>
          <t>View</t>
        </is>
      </c>
    </row>
    <row r="31" ht="80" customHeight="1">
      <c r="A31" s="11" t="n">
        <v>26</v>
      </c>
      <c r="B31" s="11">
        <f>_xlfn.IMAGE("https://cdn.shopify.com/s/files/1/0642/4313/8648/files/14K-Yellow-Gold-Diamond-Tennis-Chain-18-Inches-2.5mm--66403-Diamond-1-gallery-c4f4a58024.jpg?v=1755725422&amp;width=240",,0)</f>
        <v/>
      </c>
      <c r="C31" s="11" t="inlineStr">
        <is>
          <t>66403</t>
        </is>
      </c>
      <c r="D31" s="11" t="inlineStr">
        <is>
          <t>14K Yellow Gold Diamond Tennis Chain 18 Inches 2.5mm 7.23ct 66403</t>
        </is>
      </c>
      <c r="E31" s="12" t="inlineStr">
        <is>
          <t>Natural</t>
        </is>
      </c>
      <c r="F31" s="13" t="n">
        <v>9600</v>
      </c>
      <c r="G31" s="13" t="n">
        <v>9600</v>
      </c>
      <c r="H31" s="11" t="n">
        <v>3</v>
      </c>
      <c r="I31" s="11" t="n">
        <v>0</v>
      </c>
      <c r="J31" s="11" t="inlineStr">
        <is>
          <t>AHMED - MOON JEWELRY</t>
        </is>
      </c>
      <c r="K31" s="15" t="inlineStr">
        <is>
          <t>Fix title</t>
        </is>
      </c>
      <c r="L31" s="14" t="inlineStr">
        <is>
          <t>View</t>
        </is>
      </c>
    </row>
    <row r="32" ht="80" customHeight="1">
      <c r="A32" s="11" t="n">
        <v>27</v>
      </c>
      <c r="B32" s="11">
        <f>_xlfn.IMAGE("https://cdn.shopify.com/s/files/1/0642/4313/8648/files/Parcel-Diamond-Tennis-Chain-21.7-Inches-2.4-mm--69822-Style-1-gallery-dc59483689.jpg?v=1755726771&amp;width=240",,0)</f>
        <v/>
      </c>
      <c r="C32" s="11" t="inlineStr">
        <is>
          <t>69822</t>
        </is>
      </c>
      <c r="D32" s="11" t="inlineStr">
        <is>
          <t>14K Gold Parcel Diamond Tennis Chain 21.7 Inches 2.4 mm 69822</t>
        </is>
      </c>
      <c r="E32" s="12" t="inlineStr">
        <is>
          <t>Natural</t>
        </is>
      </c>
      <c r="F32" s="13" t="n">
        <v>9700</v>
      </c>
      <c r="G32" s="13" t="n">
        <v>9700</v>
      </c>
      <c r="H32" s="11" t="n">
        <v>3</v>
      </c>
      <c r="I32" s="11" t="n">
        <v>0</v>
      </c>
      <c r="J32" s="11" t="inlineStr">
        <is>
          <t>AHMED - MOON JEWELRY</t>
        </is>
      </c>
      <c r="K32" s="11" t="inlineStr">
        <is>
          <t>OK</t>
        </is>
      </c>
      <c r="L32" s="14" t="inlineStr">
        <is>
          <t>View</t>
        </is>
      </c>
    </row>
    <row r="33" ht="80" customHeight="1">
      <c r="A33" s="11" t="n">
        <v>28</v>
      </c>
      <c r="B33" s="11">
        <f>_xlfn.IMAGE("https://cdn.shopify.com/s/files/1/0642/4313/8648/files/14K-Yellow-Gold-Diamond-Tennis-Chain-65283-65776-Diamond-1-gallery-b7a8fa8a0d.jpg?v=1755718953&amp;width=240",,0)</f>
        <v/>
      </c>
      <c r="C33" s="11" t="inlineStr">
        <is>
          <t>65776</t>
        </is>
      </c>
      <c r="D33" s="11" t="inlineStr">
        <is>
          <t>14K Yellow Gold Diamond Tennis Chain 22 Inches 2mm 65776</t>
        </is>
      </c>
      <c r="E33" s="12" t="inlineStr">
        <is>
          <t>Natural</t>
        </is>
      </c>
      <c r="F33" s="13" t="n">
        <v>9750</v>
      </c>
      <c r="G33" s="13" t="n">
        <v>9750</v>
      </c>
      <c r="H33" s="11" t="n">
        <v>3</v>
      </c>
      <c r="I33" s="11" t="n">
        <v>0</v>
      </c>
      <c r="J33" s="11" t="inlineStr">
        <is>
          <t>RINA - TraxNYC FACTORY</t>
        </is>
      </c>
      <c r="K33" s="15" t="inlineStr">
        <is>
          <t>Fix title</t>
        </is>
      </c>
      <c r="L33" s="14" t="inlineStr">
        <is>
          <t>View</t>
        </is>
      </c>
    </row>
    <row r="34" ht="80" customHeight="1">
      <c r="A34" s="11" t="n">
        <v>29</v>
      </c>
      <c r="B34" s="11">
        <f>_xlfn.IMAGE("https://cdn.shopify.com/s/files/1/0642/4313/8648/files/3-Pointer-Parcel-Diamond-Tennis-Chain-19.80Gr-22-Inches-2.5mm-66816-Diamond-1-gallery-dc59483689.jpg?v=1755725583&amp;width=240",,0)</f>
        <v/>
      </c>
      <c r="C34" s="11" t="inlineStr">
        <is>
          <t>66816</t>
        </is>
      </c>
      <c r="D34" s="11" t="inlineStr">
        <is>
          <t>14K Gold 3 Pointer Parcel Diamond Tennis Chain 19.80Gr 22 Inches 2.5mm 66816</t>
        </is>
      </c>
      <c r="E34" s="12" t="inlineStr">
        <is>
          <t>Natural</t>
        </is>
      </c>
      <c r="F34" s="13" t="n">
        <v>9850</v>
      </c>
      <c r="G34" s="13" t="n">
        <v>9850</v>
      </c>
      <c r="H34" s="11" t="n">
        <v>3</v>
      </c>
      <c r="I34" s="11" t="n">
        <v>0</v>
      </c>
      <c r="J34" s="11" t="inlineStr">
        <is>
          <t>AHMED - MOON JEWELRY</t>
        </is>
      </c>
      <c r="K34" s="11" t="inlineStr">
        <is>
          <t>OK</t>
        </is>
      </c>
      <c r="L34" s="14" t="inlineStr">
        <is>
          <t>View</t>
        </is>
      </c>
    </row>
    <row r="35" ht="80" customHeight="1">
      <c r="A35" s="7" t="n">
        <v>30</v>
      </c>
      <c r="B35" s="7">
        <f>_xlfn.IMAGE("https://cdn.shopify.com/s/files/1/0642/4313/8648/files/Diamond-Blossom-Tennis-Chain-69879-Style-3-1721246394-gallery-a42aad94f4.jpg?v=1761848740&amp;width=240",,0)</f>
        <v/>
      </c>
      <c r="C35" s="7" t="inlineStr">
        <is>
          <t>69879</t>
        </is>
      </c>
      <c r="D35" s="7" t="inlineStr">
        <is>
          <t>14K Gold Lab-Grown Diamond Blossom Tennis Chain 69879</t>
        </is>
      </c>
      <c r="E35" s="8" t="inlineStr">
        <is>
          <t>Lab-Grown</t>
        </is>
      </c>
      <c r="F35" s="9" t="n">
        <v>10000</v>
      </c>
      <c r="G35" s="9" t="n">
        <v>10000</v>
      </c>
      <c r="H35" s="7" t="n">
        <v>3</v>
      </c>
      <c r="I35" s="7" t="n">
        <v>0</v>
      </c>
      <c r="J35" s="7" t="inlineStr">
        <is>
          <t>AHMED - MOON JEWELRY</t>
        </is>
      </c>
      <c r="K35" s="7" t="inlineStr">
        <is>
          <t>OK</t>
        </is>
      </c>
      <c r="L35" s="10" t="inlineStr">
        <is>
          <t>View</t>
        </is>
      </c>
    </row>
    <row r="36" ht="80" customHeight="1">
      <c r="A36" s="7" t="n">
        <v>31</v>
      </c>
      <c r="B36" s="7">
        <f>_xlfn.IMAGE("https://cdn.shopify.com/s/files/1/0642/4313/8648/files/7-Pointer-Diamond-Tennis-Chain-69115-Diamond-1-gallery-d26b65cd66.jpg?v=1761848637&amp;width=240",,0)</f>
        <v/>
      </c>
      <c r="C36" s="7" t="inlineStr">
        <is>
          <t>69115</t>
        </is>
      </c>
      <c r="D36" s="7" t="inlineStr">
        <is>
          <t>14K Gold 7 Pointer Diamond Tennis Chain (Lab) 69115</t>
        </is>
      </c>
      <c r="E36" s="8" t="inlineStr">
        <is>
          <t>Lab-Grown</t>
        </is>
      </c>
      <c r="F36" s="9" t="n">
        <v>10050</v>
      </c>
      <c r="G36" s="9" t="n">
        <v>10050</v>
      </c>
      <c r="H36" s="7" t="n">
        <v>3</v>
      </c>
      <c r="I36" s="7" t="n">
        <v>0</v>
      </c>
      <c r="J36" s="7" t="inlineStr">
        <is>
          <t>AHMED - MOON JEWELRY</t>
        </is>
      </c>
      <c r="K36" s="7" t="inlineStr">
        <is>
          <t>OK</t>
        </is>
      </c>
      <c r="L36" s="10" t="inlineStr">
        <is>
          <t>View</t>
        </is>
      </c>
    </row>
    <row r="37" ht="80" customHeight="1">
      <c r="A37" s="7" t="n">
        <v>32</v>
      </c>
      <c r="B37" s="7">
        <f>_xlfn.IMAGE("https://cdn.shopify.com/s/files/1/0642/4313/8648/files/14k-Yellow-Gold-Tennis-chain-3mm-22-inches-69573-Diamond-1-1710357188-gallery-9b4b8cfb2c.jpg?v=1755726656&amp;width=240",,0)</f>
        <v/>
      </c>
      <c r="C37" s="7" t="inlineStr">
        <is>
          <t>69573</t>
        </is>
      </c>
      <c r="D37" s="7" t="inlineStr">
        <is>
          <t>14k Yellow Gold Lab-Grown Diamond Tennis chain 7pt 3.3mm 22 inches 69573</t>
        </is>
      </c>
      <c r="E37" s="8" t="inlineStr">
        <is>
          <t>Lab-Grown</t>
        </is>
      </c>
      <c r="F37" s="9" t="n">
        <v>10050</v>
      </c>
      <c r="G37" s="9" t="n">
        <v>10050</v>
      </c>
      <c r="H37" s="7" t="n">
        <v>3</v>
      </c>
      <c r="I37" s="7" t="n">
        <v>1</v>
      </c>
      <c r="J37" s="7" t="inlineStr">
        <is>
          <t>AHMED - TraxNYC CVD</t>
        </is>
      </c>
      <c r="K37" s="7" t="inlineStr">
        <is>
          <t>OK</t>
        </is>
      </c>
      <c r="L37" s="10" t="inlineStr">
        <is>
          <t>View</t>
        </is>
      </c>
    </row>
    <row r="38" ht="80" customHeight="1">
      <c r="A38" s="7" t="n">
        <v>33</v>
      </c>
      <c r="B38" s="7">
        <f>_xlfn.IMAGE("https://cdn.shopify.com/s/files/1/0642/4313/8648/files/7-Pointer-Diamond-Tennis-Chain-_Lab_-68480-Diamond-1-gallery-c46e017d56.jpg?v=1755726293&amp;width=240",,0)</f>
        <v/>
      </c>
      <c r="C38" s="7" t="inlineStr">
        <is>
          <t>68480</t>
        </is>
      </c>
      <c r="D38" s="7" t="inlineStr">
        <is>
          <t>14K Gold 7 Pointer Diamond Tennis Chain (Lab) 68480</t>
        </is>
      </c>
      <c r="E38" s="8" t="inlineStr">
        <is>
          <t>Lab-Grown</t>
        </is>
      </c>
      <c r="F38" s="9" t="n">
        <v>10100</v>
      </c>
      <c r="G38" s="9" t="n">
        <v>10100</v>
      </c>
      <c r="H38" s="7" t="n">
        <v>3</v>
      </c>
      <c r="I38" s="7" t="n">
        <v>0</v>
      </c>
      <c r="J38" s="7" t="inlineStr">
        <is>
          <t>AHMED - TraxNYC CVD</t>
        </is>
      </c>
      <c r="K38" s="7" t="inlineStr">
        <is>
          <t>OK</t>
        </is>
      </c>
      <c r="L38" s="10" t="inlineStr">
        <is>
          <t>View</t>
        </is>
      </c>
    </row>
    <row r="39" ht="80" customHeight="1">
      <c r="A39" s="7" t="n">
        <v>34</v>
      </c>
      <c r="B39" s="7">
        <f>_xlfn.IMAGE("https://cdn.shopify.com/s/files/1/0642/4313/8648/files/7-Pointer-Diamond-Tennis-Chain-_Lab_-68479-Diamond-1-gallery-a0aa3d4653.jpg?v=1755726291&amp;width=240",,0)</f>
        <v/>
      </c>
      <c r="C39" s="7" t="inlineStr">
        <is>
          <t>68479</t>
        </is>
      </c>
      <c r="D39" s="7" t="inlineStr">
        <is>
          <t>14K Gold 7 Pointer Diamond Tennis Chain (Lab) 68479</t>
        </is>
      </c>
      <c r="E39" s="8" t="inlineStr">
        <is>
          <t>Lab-Grown</t>
        </is>
      </c>
      <c r="F39" s="9" t="n">
        <v>10150</v>
      </c>
      <c r="G39" s="9" t="n">
        <v>10150</v>
      </c>
      <c r="H39" s="7" t="n">
        <v>3</v>
      </c>
      <c r="I39" s="7" t="n">
        <v>1</v>
      </c>
      <c r="J39" s="7" t="inlineStr">
        <is>
          <t>AHMED - TraxNYC CVD</t>
        </is>
      </c>
      <c r="K39" s="7" t="inlineStr">
        <is>
          <t>OK</t>
        </is>
      </c>
      <c r="L39" s="10" t="inlineStr">
        <is>
          <t>View</t>
        </is>
      </c>
    </row>
    <row r="40" ht="80" customHeight="1">
      <c r="A40" s="7" t="n">
        <v>35</v>
      </c>
      <c r="B40" s="7">
        <f>_xlfn.IMAGE("https://cdn.shopify.com/s/files/1/0642/4313/8648/files/55_Pt_Diamond_Tennis_Chain_71714.png?v=1786549385&amp;width=240",,0)</f>
        <v/>
      </c>
      <c r="C40" s="7" t="inlineStr">
        <is>
          <t>71714</t>
        </is>
      </c>
      <c r="D40" s="7" t="inlineStr">
        <is>
          <t>14K Gold 55 Pt Lab-Grown Diamond Tennis Chain 71714</t>
        </is>
      </c>
      <c r="E40" s="8" t="inlineStr">
        <is>
          <t>Lab-Grown</t>
        </is>
      </c>
      <c r="F40" s="9" t="n">
        <v>10250</v>
      </c>
      <c r="G40" s="9" t="n">
        <v>13250</v>
      </c>
      <c r="H40" s="7" t="n">
        <v>12</v>
      </c>
      <c r="I40" s="7" t="n">
        <v>-1</v>
      </c>
      <c r="J40" s="7" t="inlineStr">
        <is>
          <t>AHMED - MOON JEWELRY</t>
        </is>
      </c>
      <c r="K40" s="7" t="inlineStr">
        <is>
          <t>OK</t>
        </is>
      </c>
      <c r="L40" s="10" t="inlineStr">
        <is>
          <t>View</t>
        </is>
      </c>
    </row>
    <row r="41" ht="80" customHeight="1">
      <c r="A41" s="11" t="n">
        <v>36</v>
      </c>
      <c r="B41" s="11">
        <f>_xlfn.IMAGE("https://cdn.shopify.com/s/files/1/0642/4313/8648/files/Mystic-Sparkle-Diamond-Tennis-Chain-69884-Style-1-1721250279-gallery-06545b4668.jpg?v=1755726867&amp;width=240",,0)</f>
        <v/>
      </c>
      <c r="C41" s="11" t="inlineStr">
        <is>
          <t>69884</t>
        </is>
      </c>
      <c r="D41" s="11" t="inlineStr">
        <is>
          <t>14K Gold Mystic Sparkle Diamond Tennis Chain 69884</t>
        </is>
      </c>
      <c r="E41" s="12" t="inlineStr">
        <is>
          <t>Natural</t>
        </is>
      </c>
      <c r="F41" s="13" t="n">
        <v>10500</v>
      </c>
      <c r="G41" s="13" t="n">
        <v>10500</v>
      </c>
      <c r="H41" s="11" t="n">
        <v>3</v>
      </c>
      <c r="I41" s="11" t="n">
        <v>0</v>
      </c>
      <c r="J41" s="11" t="inlineStr">
        <is>
          <t>AHMED - MOON JEWELRY</t>
        </is>
      </c>
      <c r="K41" s="11" t="inlineStr">
        <is>
          <t>OK</t>
        </is>
      </c>
      <c r="L41" s="14" t="inlineStr">
        <is>
          <t>View</t>
        </is>
      </c>
    </row>
    <row r="42" ht="80" customHeight="1">
      <c r="A42" s="7" t="n">
        <v>37</v>
      </c>
      <c r="B42" s="7">
        <f>_xlfn.IMAGE("https://cdn.shopify.com/s/files/1/0642/4313/8648/files/10-Pointer-Diamond-Tennis-Chain-69113-Diamond-1-gallery-d26b65cd66.jpg?v=1755726447&amp;width=240",,0)</f>
        <v/>
      </c>
      <c r="C42" s="7" t="inlineStr">
        <is>
          <t>69113</t>
        </is>
      </c>
      <c r="D42" s="7" t="inlineStr">
        <is>
          <t>14K Gold 10 Pointer Diamond Tennis Chain (Lab) 69113</t>
        </is>
      </c>
      <c r="E42" s="8" t="inlineStr">
        <is>
          <t>Lab-Grown</t>
        </is>
      </c>
      <c r="F42" s="9" t="n">
        <v>10750</v>
      </c>
      <c r="G42" s="9" t="n">
        <v>10750</v>
      </c>
      <c r="H42" s="7" t="n">
        <v>3</v>
      </c>
      <c r="I42" s="7" t="n">
        <v>1</v>
      </c>
      <c r="J42" s="7" t="inlineStr">
        <is>
          <t>AHMED - MOON JEWELRY</t>
        </is>
      </c>
      <c r="K42" s="7" t="inlineStr">
        <is>
          <t>OK</t>
        </is>
      </c>
      <c r="L42" s="10" t="inlineStr">
        <is>
          <t>View</t>
        </is>
      </c>
    </row>
    <row r="43" ht="80" customHeight="1">
      <c r="A43" s="11" t="n">
        <v>38</v>
      </c>
      <c r="B43" s="11">
        <f>_xlfn.IMAGE("https://cdn.shopify.com/s/files/1/0642/4313/8648/files/14k-Yellow-Gold-Tennis-chain-3mm-22-inches-69500-Diamond-9-1706630072-gallery-d26b65cd66.jpg?v=1755726547&amp;width=240",,0)</f>
        <v/>
      </c>
      <c r="C43" s="11" t="inlineStr">
        <is>
          <t>69500</t>
        </is>
      </c>
      <c r="D43" s="11" t="inlineStr">
        <is>
          <t>14k Yellow Gold Tennis chain 3mm 22 inches 69500</t>
        </is>
      </c>
      <c r="E43" s="12" t="inlineStr">
        <is>
          <t>Natural</t>
        </is>
      </c>
      <c r="F43" s="13" t="n">
        <v>10800</v>
      </c>
      <c r="G43" s="13" t="n">
        <v>10800</v>
      </c>
      <c r="H43" s="11" t="n">
        <v>3</v>
      </c>
      <c r="I43" s="11" t="n">
        <v>0</v>
      </c>
      <c r="J43" s="11" t="inlineStr">
        <is>
          <t>RINA - TraxNYC FACTORY</t>
        </is>
      </c>
      <c r="K43" s="11" t="inlineStr">
        <is>
          <t>OK</t>
        </is>
      </c>
      <c r="L43" s="14" t="inlineStr">
        <is>
          <t>View</t>
        </is>
      </c>
    </row>
    <row r="44" ht="80" customHeight="1">
      <c r="A44" s="11" t="n">
        <v>39</v>
      </c>
      <c r="B44" s="11">
        <f>_xlfn.IMAGE("https://cdn.shopify.com/s/files/1/0642/4313/8648/files/14K-Yellow-Gold-Diamond-Tennis-Chain-65777-Diamond-1-gallery-c4f4a58024.jpg?v=1755718955&amp;width=240",,0)</f>
        <v/>
      </c>
      <c r="C44" s="11" t="inlineStr">
        <is>
          <t>65777</t>
        </is>
      </c>
      <c r="D44" s="11" t="inlineStr">
        <is>
          <t>14K Yellow Gold Diamond Tennis 22 Inches 2.5mm 65777</t>
        </is>
      </c>
      <c r="E44" s="12" t="inlineStr">
        <is>
          <t>Natural</t>
        </is>
      </c>
      <c r="F44" s="13" t="n">
        <v>11000</v>
      </c>
      <c r="G44" s="13" t="n">
        <v>11000</v>
      </c>
      <c r="H44" s="11" t="n">
        <v>3</v>
      </c>
      <c r="I44" s="11" t="n">
        <v>0</v>
      </c>
      <c r="J44" s="11" t="inlineStr">
        <is>
          <t>RINA - TraxNYC FACTORY</t>
        </is>
      </c>
      <c r="K44" s="15" t="inlineStr">
        <is>
          <t>Fix title</t>
        </is>
      </c>
      <c r="L44" s="14" t="inlineStr">
        <is>
          <t>View</t>
        </is>
      </c>
    </row>
    <row r="45" ht="80" customHeight="1">
      <c r="A45" s="7" t="n">
        <v>40</v>
      </c>
      <c r="B45" s="7">
        <f>_xlfn.IMAGE("https://cdn.shopify.com/s/files/1/0642/4313/8648/files/14K-Gold-Diamond-Tennis-Chain-68004-Diamond-1-gallery-8bd9bb7a44.jpg?v=1755725893&amp;width=240",,0)</f>
        <v/>
      </c>
      <c r="C45" s="7" t="inlineStr">
        <is>
          <t>68004</t>
        </is>
      </c>
      <c r="D45" s="7" t="inlineStr">
        <is>
          <t>14K Gold Lab-Grown Diamond Tennis Chain 68004</t>
        </is>
      </c>
      <c r="E45" s="8" t="inlineStr">
        <is>
          <t>Lab-Grown</t>
        </is>
      </c>
      <c r="F45" s="9" t="n">
        <v>11250</v>
      </c>
      <c r="G45" s="9" t="n">
        <v>11250</v>
      </c>
      <c r="H45" s="7" t="n">
        <v>3</v>
      </c>
      <c r="I45" s="7" t="n">
        <v>0</v>
      </c>
      <c r="J45" s="7" t="inlineStr">
        <is>
          <t>RINA - TraxNYC CUSTOM CVD</t>
        </is>
      </c>
      <c r="K45" s="7" t="inlineStr">
        <is>
          <t>OK</t>
        </is>
      </c>
      <c r="L45" s="10" t="inlineStr">
        <is>
          <t>View</t>
        </is>
      </c>
    </row>
    <row r="46" ht="80" customHeight="1">
      <c r="A46" s="7" t="n">
        <v>41</v>
      </c>
      <c r="B46" s="7">
        <f>_xlfn.IMAGE("https://cdn.shopify.com/s/files/1/0642/4313/8648/files/Emerald-Cut-Diamond-Tennis-Chain-69511-Style-1-1707175702-gallery-ede60acd21.jpg?v=1755726598&amp;width=240",,0)</f>
        <v/>
      </c>
      <c r="C46" s="7" t="inlineStr">
        <is>
          <t>69511</t>
        </is>
      </c>
      <c r="D46" s="7" t="inlineStr">
        <is>
          <t>14K Gold Emerald Cut Lab-Grown Diamond Tennis Chain 69511</t>
        </is>
      </c>
      <c r="E46" s="8" t="inlineStr">
        <is>
          <t>Lab-Grown</t>
        </is>
      </c>
      <c r="F46" s="9" t="n">
        <v>11600</v>
      </c>
      <c r="G46" s="9" t="n">
        <v>11600</v>
      </c>
      <c r="H46" s="7" t="n">
        <v>3</v>
      </c>
      <c r="I46" s="7" t="n">
        <v>0</v>
      </c>
      <c r="J46" s="7" t="inlineStr">
        <is>
          <t>RINA - TraxNYC CUSTOM CVD</t>
        </is>
      </c>
      <c r="K46" s="7" t="inlineStr">
        <is>
          <t>OK</t>
        </is>
      </c>
      <c r="L46" s="10" t="inlineStr">
        <is>
          <t>View</t>
        </is>
      </c>
    </row>
    <row r="47" ht="80" customHeight="1">
      <c r="A47" s="7" t="n">
        <v>42</v>
      </c>
      <c r="B47" s="7">
        <f>_xlfn.IMAGE("https://cdn.shopify.com/s/files/1/0642/4313/8648/files/70486_image_01_5da6f27c.jpg?v=1755737134&amp;width=240",,0)</f>
        <v/>
      </c>
      <c r="C47" s="7" t="inlineStr">
        <is>
          <t>70486</t>
        </is>
      </c>
      <c r="D47" s="7" t="inlineStr">
        <is>
          <t>14K Gold Marina Ice Lab-Grown Diamond Tennis Chain 70486</t>
        </is>
      </c>
      <c r="E47" s="8" t="inlineStr">
        <is>
          <t>Lab-Grown</t>
        </is>
      </c>
      <c r="F47" s="9" t="n">
        <v>11700</v>
      </c>
      <c r="G47" s="9" t="n">
        <v>11700</v>
      </c>
      <c r="H47" s="7" t="n">
        <v>3</v>
      </c>
      <c r="I47" s="7" t="n">
        <v>0</v>
      </c>
      <c r="J47" s="7" t="inlineStr">
        <is>
          <t>AHMED - TraxNYC CVD</t>
        </is>
      </c>
      <c r="K47" s="7" t="inlineStr">
        <is>
          <t>OK</t>
        </is>
      </c>
      <c r="L47" s="10" t="inlineStr">
        <is>
          <t>View</t>
        </is>
      </c>
    </row>
    <row r="48" ht="80" customHeight="1">
      <c r="A48" s="7" t="n">
        <v>43</v>
      </c>
      <c r="B48" s="7">
        <f>_xlfn.IMAGE("https://cdn.shopify.com/s/files/1/0642/4313/8648/files/1_37a380b9-7947-4c04-b21d-dbb6f10bfaaf.jpg?v=1764114838&amp;width=240",,0)</f>
        <v/>
      </c>
      <c r="C48" s="7" t="inlineStr">
        <is>
          <t>70936</t>
        </is>
      </c>
      <c r="D48" s="7" t="inlineStr">
        <is>
          <t>14K Gold 10 Pointer Upside Down Lab-Grown Diamond Tennis Chain 70936</t>
        </is>
      </c>
      <c r="E48" s="8" t="inlineStr">
        <is>
          <t>Lab-Grown</t>
        </is>
      </c>
      <c r="F48" s="9" t="n">
        <v>12000</v>
      </c>
      <c r="G48" s="9" t="n">
        <v>12000</v>
      </c>
      <c r="H48" s="7" t="n">
        <v>3</v>
      </c>
      <c r="I48" s="7" t="n">
        <v>0</v>
      </c>
      <c r="J48" s="7" t="inlineStr">
        <is>
          <t>AHMED - MOON JEWELRY</t>
        </is>
      </c>
      <c r="K48" s="7" t="inlineStr">
        <is>
          <t>OK</t>
        </is>
      </c>
      <c r="L48" s="10" t="inlineStr">
        <is>
          <t>View</t>
        </is>
      </c>
    </row>
    <row r="49" ht="80" customHeight="1">
      <c r="A49" s="7" t="n">
        <v>44</v>
      </c>
      <c r="B49" s="7">
        <f>_xlfn.IMAGE("https://cdn.shopify.com/s/files/1/0642/4313/8648/files/10-Pt-Lab-Diamond-Tennis-Chin-68037-Diamond-9-gallery-7209234aab.jpg?v=1755725898&amp;width=240",,0)</f>
        <v/>
      </c>
      <c r="C49" s="7" t="inlineStr">
        <is>
          <t>68037</t>
        </is>
      </c>
      <c r="D49" s="7" t="inlineStr">
        <is>
          <t>14K Gold 10 Pt Lab Diamond Tennis Chain 68037</t>
        </is>
      </c>
      <c r="E49" s="8" t="inlineStr">
        <is>
          <t>Lab-Grown</t>
        </is>
      </c>
      <c r="F49" s="9" t="n">
        <v>12150</v>
      </c>
      <c r="G49" s="9" t="n">
        <v>12150</v>
      </c>
      <c r="H49" s="7" t="n">
        <v>3</v>
      </c>
      <c r="I49" s="7" t="n">
        <v>1</v>
      </c>
      <c r="J49" s="7" t="inlineStr">
        <is>
          <t>AHMED - TraxNYC CVD</t>
        </is>
      </c>
      <c r="K49" s="7" t="inlineStr">
        <is>
          <t>OK</t>
        </is>
      </c>
      <c r="L49" s="10" t="inlineStr">
        <is>
          <t>View</t>
        </is>
      </c>
    </row>
    <row r="50" ht="80" customHeight="1">
      <c r="A50" s="11" t="n">
        <v>45</v>
      </c>
      <c r="B50" s="11">
        <f>_xlfn.IMAGE("https://cdn.shopify.com/s/files/1/0642/4313/8648/files/14K-Gold-2-Tone-Tennis-Chain-67654-Diamond-1-gallery-9347606c76.jpg?v=1755725796&amp;width=240",,0)</f>
        <v/>
      </c>
      <c r="C50" s="11" t="inlineStr">
        <is>
          <t>67654</t>
        </is>
      </c>
      <c r="D50" s="11" t="inlineStr">
        <is>
          <t>14K Gold 2 Tone Tennis Chain 67654</t>
        </is>
      </c>
      <c r="E50" s="12" t="inlineStr">
        <is>
          <t>Natural</t>
        </is>
      </c>
      <c r="F50" s="13" t="n">
        <v>12500</v>
      </c>
      <c r="G50" s="13" t="n">
        <v>12500</v>
      </c>
      <c r="H50" s="11" t="n">
        <v>1</v>
      </c>
      <c r="I50" s="11" t="n">
        <v>0</v>
      </c>
      <c r="J50" s="11" t="inlineStr">
        <is>
          <t>AHMED - MOON JEWELRY</t>
        </is>
      </c>
      <c r="K50" s="11" t="inlineStr">
        <is>
          <t>OK</t>
        </is>
      </c>
      <c r="L50" s="14" t="inlineStr">
        <is>
          <t>View</t>
        </is>
      </c>
    </row>
    <row r="51" ht="80" customHeight="1">
      <c r="A51" s="7" t="n">
        <v>46</v>
      </c>
      <c r="B51" s="7">
        <f>_xlfn.IMAGE("https://cdn.shopify.com/s/files/1/0642/4313/8648/files/75_Pt_Diamond_Tennis_Chain_71716.png?v=1786549667&amp;width=240",,0)</f>
        <v/>
      </c>
      <c r="C51" s="7" t="inlineStr">
        <is>
          <t>71716</t>
        </is>
      </c>
      <c r="D51" s="7" t="inlineStr">
        <is>
          <t>14K Gold 75 Pt Lab-Grown Diamond Tennis Chain 71716</t>
        </is>
      </c>
      <c r="E51" s="8" t="inlineStr">
        <is>
          <t>Lab-Grown</t>
        </is>
      </c>
      <c r="F51" s="9" t="n">
        <v>12500</v>
      </c>
      <c r="G51" s="9" t="n">
        <v>16750</v>
      </c>
      <c r="H51" s="7" t="n">
        <v>12</v>
      </c>
      <c r="I51" s="7" t="n">
        <v>-1</v>
      </c>
      <c r="J51" s="7" t="inlineStr">
        <is>
          <t>AHMED - MOON JEWELRY</t>
        </is>
      </c>
      <c r="K51" s="7" t="inlineStr">
        <is>
          <t>OK</t>
        </is>
      </c>
      <c r="L51" s="10" t="inlineStr">
        <is>
          <t>View</t>
        </is>
      </c>
    </row>
    <row r="52" ht="80" customHeight="1">
      <c r="A52" s="7" t="n">
        <v>47</v>
      </c>
      <c r="B52" s="7">
        <f>_xlfn.IMAGE("https://cdn.shopify.com/s/files/1/0642/4313/8648/files/70335_image_01_9615178b.jpg?v=1755736678&amp;width=240",,0)</f>
        <v/>
      </c>
      <c r="C52" s="7" t="inlineStr">
        <is>
          <t>70335</t>
        </is>
      </c>
      <c r="D52" s="7" t="inlineStr">
        <is>
          <t>14K Gold 15 Pt Diamond Tennis Chain (Lab) 70335</t>
        </is>
      </c>
      <c r="E52" s="8" t="inlineStr">
        <is>
          <t>Lab-Grown</t>
        </is>
      </c>
      <c r="F52" s="9" t="n">
        <v>12700</v>
      </c>
      <c r="G52" s="9" t="n">
        <v>12700</v>
      </c>
      <c r="H52" s="7" t="n">
        <v>3</v>
      </c>
      <c r="I52" s="7" t="n">
        <v>1</v>
      </c>
      <c r="J52" s="7" t="inlineStr">
        <is>
          <t>AHMED - TraxNYC CVD</t>
        </is>
      </c>
      <c r="K52" s="7" t="inlineStr">
        <is>
          <t>OK</t>
        </is>
      </c>
      <c r="L52" s="10" t="inlineStr">
        <is>
          <t>View</t>
        </is>
      </c>
    </row>
    <row r="53" ht="80" customHeight="1">
      <c r="A53" s="7" t="n">
        <v>48</v>
      </c>
      <c r="B53" s="7">
        <f>_xlfn.IMAGE("https://cdn.shopify.com/s/files/1/0642/4313/8648/files/10-Pt-Diamond-Tennis-Chain-_Lab_-68237-Diamond-1-gallery-26f841eca8.jpg?v=1755726032&amp;width=240",,0)</f>
        <v/>
      </c>
      <c r="C53" s="7" t="inlineStr">
        <is>
          <t>68237</t>
        </is>
      </c>
      <c r="D53" s="7" t="inlineStr">
        <is>
          <t>14K Gold 10 Pt Diamond Tennis Chain (Lab) 68237</t>
        </is>
      </c>
      <c r="E53" s="8" t="inlineStr">
        <is>
          <t>Lab-Grown</t>
        </is>
      </c>
      <c r="F53" s="9" t="n">
        <v>12750</v>
      </c>
      <c r="G53" s="9" t="n">
        <v>12750</v>
      </c>
      <c r="H53" s="7" t="n">
        <v>3</v>
      </c>
      <c r="I53" s="7" t="n">
        <v>4</v>
      </c>
      <c r="J53" s="7" t="inlineStr">
        <is>
          <t>AHMED - TraxNYC CVD</t>
        </is>
      </c>
      <c r="K53" s="7" t="inlineStr">
        <is>
          <t>OK</t>
        </is>
      </c>
      <c r="L53" s="10" t="inlineStr">
        <is>
          <t>View</t>
        </is>
      </c>
    </row>
    <row r="54" ht="80" customHeight="1">
      <c r="A54" s="7" t="n">
        <v>49</v>
      </c>
      <c r="B54" s="7">
        <f>_xlfn.IMAGE("https://cdn.shopify.com/s/files/1/0642/4313/8648/files/10-Pointer-Diamond-Tennis-Chain-69114-Diamond-1-gallery-d26b65cd66.jpg?v=1755726450&amp;width=240",,0)</f>
        <v/>
      </c>
      <c r="C54" s="7" t="inlineStr">
        <is>
          <t>69114</t>
        </is>
      </c>
      <c r="D54" s="7" t="inlineStr">
        <is>
          <t>14K Gold 10 Pointer Diamond Tennis Chain (Lab) 69114</t>
        </is>
      </c>
      <c r="E54" s="8" t="inlineStr">
        <is>
          <t>Lab-Grown</t>
        </is>
      </c>
      <c r="F54" s="9" t="n">
        <v>12800</v>
      </c>
      <c r="G54" s="9" t="n">
        <v>12800</v>
      </c>
      <c r="H54" s="7" t="n">
        <v>3</v>
      </c>
      <c r="I54" s="7" t="n">
        <v>0</v>
      </c>
      <c r="J54" s="7" t="inlineStr">
        <is>
          <t>AHMED - TraxNYC CVD</t>
        </is>
      </c>
      <c r="K54" s="7" t="inlineStr">
        <is>
          <t>OK</t>
        </is>
      </c>
      <c r="L54" s="10" t="inlineStr">
        <is>
          <t>View</t>
        </is>
      </c>
    </row>
    <row r="55" ht="80" customHeight="1">
      <c r="A55" s="7" t="n">
        <v>50</v>
      </c>
      <c r="B55" s="7">
        <f>_xlfn.IMAGE("https://cdn.shopify.com/s/files/1/0642/4313/8648/files/69112_image_01_ad26f55d.jpg?v=1755736570&amp;width=240",,0)</f>
        <v/>
      </c>
      <c r="C55" s="7" t="inlineStr">
        <is>
          <t>69112</t>
        </is>
      </c>
      <c r="D55" s="7" t="inlineStr">
        <is>
          <t>14K Gold 15 Pointer Diamond Tennis Chain (Lab) 69112</t>
        </is>
      </c>
      <c r="E55" s="8" t="inlineStr">
        <is>
          <t>Lab-Grown</t>
        </is>
      </c>
      <c r="F55" s="9" t="n">
        <v>13050</v>
      </c>
      <c r="G55" s="9" t="n">
        <v>13050</v>
      </c>
      <c r="H55" s="7" t="n">
        <v>3</v>
      </c>
      <c r="I55" s="7" t="n">
        <v>0</v>
      </c>
      <c r="J55" s="7" t="inlineStr">
        <is>
          <t>AHMED - MOON JEWELRY</t>
        </is>
      </c>
      <c r="K55" s="7" t="inlineStr">
        <is>
          <t>OK</t>
        </is>
      </c>
      <c r="L55" s="10" t="inlineStr">
        <is>
          <t>View</t>
        </is>
      </c>
    </row>
    <row r="56" ht="80" customHeight="1">
      <c r="A56" s="11" t="n">
        <v>51</v>
      </c>
      <c r="B56" s="11">
        <f>_xlfn.IMAGE("https://cdn.shopify.com/s/files/1/0642/4313/8648/files/TraxNYC-Signature-2-Pointers-14K-Yellow-Gold-Diamond-Tennis-Chain-66009-Diamond-1-gallery-5fe95b2824.jpg?v=1755725197&amp;width=240",,0)</f>
        <v/>
      </c>
      <c r="C56" s="11" t="inlineStr">
        <is>
          <t>66009</t>
        </is>
      </c>
      <c r="D56" s="11" t="inlineStr">
        <is>
          <t>TraxNYC Signature 2 Pointers 14K Yellow Gold Diamond Tennis Chain 66009</t>
        </is>
      </c>
      <c r="E56" s="12" t="inlineStr">
        <is>
          <t>Natural</t>
        </is>
      </c>
      <c r="F56" s="13" t="n">
        <v>13400</v>
      </c>
      <c r="G56" s="13" t="n">
        <v>13400</v>
      </c>
      <c r="H56" s="11" t="n">
        <v>1</v>
      </c>
      <c r="I56" s="11" t="n">
        <v>0</v>
      </c>
      <c r="J56" s="11" t="inlineStr">
        <is>
          <t>AHMED - MOON JEWELRY</t>
        </is>
      </c>
      <c r="K56" s="11" t="inlineStr">
        <is>
          <t>OK</t>
        </is>
      </c>
      <c r="L56" s="14" t="inlineStr">
        <is>
          <t>View</t>
        </is>
      </c>
    </row>
    <row r="57" ht="80" customHeight="1">
      <c r="A57" s="11" t="n">
        <v>52</v>
      </c>
      <c r="B57" s="11">
        <f>_xlfn.IMAGE("https://cdn.shopify.com/s/files/1/0642/4313/8648/files/Diamond-Tennis-Chain-69082-Style-1-gallery-ce6025132e.jpg?v=1756446973&amp;width=240",,0)</f>
        <v/>
      </c>
      <c r="C57" s="11" t="inlineStr">
        <is>
          <t>69082</t>
        </is>
      </c>
      <c r="D57" s="11" t="inlineStr">
        <is>
          <t>14K Gold 7 Pointer Diamond Tennis Chain 69082</t>
        </is>
      </c>
      <c r="E57" s="12" t="inlineStr">
        <is>
          <t>Natural</t>
        </is>
      </c>
      <c r="F57" s="13" t="n">
        <v>13550</v>
      </c>
      <c r="G57" s="13" t="n">
        <v>13550</v>
      </c>
      <c r="H57" s="11" t="n">
        <v>3</v>
      </c>
      <c r="I57" s="11" t="n">
        <v>0</v>
      </c>
      <c r="J57" s="11" t="inlineStr">
        <is>
          <t>AHMED - MOON JEWELRY</t>
        </is>
      </c>
      <c r="K57" s="11" t="inlineStr">
        <is>
          <t>OK</t>
        </is>
      </c>
      <c r="L57" s="14" t="inlineStr">
        <is>
          <t>View</t>
        </is>
      </c>
    </row>
    <row r="58" ht="80" customHeight="1">
      <c r="A58" s="11" t="n">
        <v>53</v>
      </c>
      <c r="B58" s="11">
        <f>_xlfn.IMAGE("https://cdn.shopify.com/s/files/1/0642/4313/8648/files/TraxNYC-Signature-4-Pointers-14K-Yellow-Gold-Diamond-Tennis-Chain-66010-Diamond-1-gallery-b9b9987475.jpg?v=1755725200&amp;width=240",,0)</f>
        <v/>
      </c>
      <c r="C58" s="11" t="inlineStr">
        <is>
          <t>66010</t>
        </is>
      </c>
      <c r="D58" s="11" t="inlineStr">
        <is>
          <t>TraxNYC Signature 4 Pointers 14K Yellow Gold Diamond Tennis Chain 66010</t>
        </is>
      </c>
      <c r="E58" s="12" t="inlineStr">
        <is>
          <t>Natural</t>
        </is>
      </c>
      <c r="F58" s="13" t="n">
        <v>13600</v>
      </c>
      <c r="G58" s="13" t="n">
        <v>13600</v>
      </c>
      <c r="H58" s="11" t="n">
        <v>1</v>
      </c>
      <c r="I58" s="11" t="n">
        <v>0</v>
      </c>
      <c r="J58" s="11" t="inlineStr">
        <is>
          <t>AHMED - MOON JEWELRY</t>
        </is>
      </c>
      <c r="K58" s="11" t="inlineStr">
        <is>
          <t>OK</t>
        </is>
      </c>
      <c r="L58" s="14" t="inlineStr">
        <is>
          <t>View</t>
        </is>
      </c>
    </row>
    <row r="59" ht="80" customHeight="1">
      <c r="A59" s="11" t="n">
        <v>54</v>
      </c>
      <c r="B59" s="11">
        <f>_xlfn.IMAGE("https://cdn.shopify.com/s/files/1/0642/4313/8648/files/Mystic-Sparkle-Diamond-Tennis-Chain-69883-Style-1-1721249353-gallery-d5afa46ab1.jpg?v=1755726865&amp;width=240",,0)</f>
        <v/>
      </c>
      <c r="C59" s="11" t="inlineStr">
        <is>
          <t>69883</t>
        </is>
      </c>
      <c r="D59" s="11" t="inlineStr">
        <is>
          <t>14K Gold Mystic Sparkle Diamond Tennis Chain 69883</t>
        </is>
      </c>
      <c r="E59" s="12" t="inlineStr">
        <is>
          <t>Natural</t>
        </is>
      </c>
      <c r="F59" s="13" t="n">
        <v>13750</v>
      </c>
      <c r="G59" s="13" t="n">
        <v>13750</v>
      </c>
      <c r="H59" s="11" t="n">
        <v>3</v>
      </c>
      <c r="I59" s="11" t="n">
        <v>0</v>
      </c>
      <c r="J59" s="11" t="inlineStr">
        <is>
          <t>AHMED - MOON JEWELRY</t>
        </is>
      </c>
      <c r="K59" s="11" t="inlineStr">
        <is>
          <t>OK</t>
        </is>
      </c>
      <c r="L59" s="14" t="inlineStr">
        <is>
          <t>View</t>
        </is>
      </c>
    </row>
    <row r="60" ht="80" customHeight="1">
      <c r="A60" s="7" t="n">
        <v>55</v>
      </c>
      <c r="B60" s="7">
        <f>_xlfn.IMAGE("https://cdn.shopify.com/s/files/1/0642/4313/8648/files/15-Pointer-Diamond-Tennis-Chain-_Lab_-68478-Diamond-2-gallery-0ae2104323.jpg?v=1755726289&amp;width=240",,0)</f>
        <v/>
      </c>
      <c r="C60" s="7" t="inlineStr">
        <is>
          <t>68478</t>
        </is>
      </c>
      <c r="D60" s="7" t="inlineStr">
        <is>
          <t>14K Gold 15 Pointer Diamond Tennis Chain (Lab) 68478</t>
        </is>
      </c>
      <c r="E60" s="8" t="inlineStr">
        <is>
          <t>Lab-Grown</t>
        </is>
      </c>
      <c r="F60" s="9" t="n">
        <v>14000</v>
      </c>
      <c r="G60" s="9" t="n">
        <v>14000</v>
      </c>
      <c r="H60" s="7" t="n">
        <v>3</v>
      </c>
      <c r="I60" s="7" t="n">
        <v>0</v>
      </c>
      <c r="J60" s="7" t="inlineStr">
        <is>
          <t>AHMED - TraxNYC CVD</t>
        </is>
      </c>
      <c r="K60" s="7" t="inlineStr">
        <is>
          <t>OK</t>
        </is>
      </c>
      <c r="L60" s="10" t="inlineStr">
        <is>
          <t>View</t>
        </is>
      </c>
    </row>
    <row r="61" ht="80" customHeight="1">
      <c r="A61" s="7" t="n">
        <v>56</v>
      </c>
      <c r="B61" s="7">
        <f>_xlfn.IMAGE("https://cdn.shopify.com/s/files/1/0642/4313/8648/files/70087_image_01_a00cac72.jpg?v=1755737038&amp;width=240",,0)</f>
        <v/>
      </c>
      <c r="C61" s="7" t="inlineStr">
        <is>
          <t>70087</t>
        </is>
      </c>
      <c r="D61" s="7" t="inlineStr">
        <is>
          <t>14K Gold 15 Pointer Diamond Tennis Chain (Lab) 70087</t>
        </is>
      </c>
      <c r="E61" s="8" t="inlineStr">
        <is>
          <t>Lab-Grown</t>
        </is>
      </c>
      <c r="F61" s="9" t="n">
        <v>14200</v>
      </c>
      <c r="G61" s="9" t="n">
        <v>14200</v>
      </c>
      <c r="H61" s="7" t="n">
        <v>3</v>
      </c>
      <c r="I61" s="7" t="n">
        <v>0</v>
      </c>
      <c r="J61" s="7" t="inlineStr">
        <is>
          <t>AHMED - MOON JEWELRY</t>
        </is>
      </c>
      <c r="K61" s="7" t="inlineStr">
        <is>
          <t>OK</t>
        </is>
      </c>
      <c r="L61" s="10" t="inlineStr">
        <is>
          <t>View</t>
        </is>
      </c>
    </row>
    <row r="62" ht="80" customHeight="1">
      <c r="A62" s="11" t="n">
        <v>57</v>
      </c>
      <c r="B62" s="11">
        <f>_xlfn.IMAGE("https://cdn.shopify.com/s/files/1/0642/4313/8648/files/TraxNYC-Signature-5-Pointers-14K-Yellow-Gold-Diamond-Tennis-Chain-66008-Diamond-1-gallery-b88a2d4fd8.jpg?v=1755725195&amp;width=240",,0)</f>
        <v/>
      </c>
      <c r="C62" s="11" t="inlineStr">
        <is>
          <t>66008</t>
        </is>
      </c>
      <c r="D62" s="11" t="inlineStr">
        <is>
          <t>TraxNYC Signature 5 Pointers 14K Yellow Gold Diamond Tennis Chain 66008</t>
        </is>
      </c>
      <c r="E62" s="12" t="inlineStr">
        <is>
          <t>Natural</t>
        </is>
      </c>
      <c r="F62" s="13" t="n">
        <v>14500</v>
      </c>
      <c r="G62" s="13" t="n">
        <v>14500</v>
      </c>
      <c r="H62" s="11" t="n">
        <v>1</v>
      </c>
      <c r="I62" s="11" t="n">
        <v>0</v>
      </c>
      <c r="J62" s="11" t="inlineStr">
        <is>
          <t>AHMED - MOON JEWELRY</t>
        </is>
      </c>
      <c r="K62" s="11" t="inlineStr">
        <is>
          <t>OK</t>
        </is>
      </c>
      <c r="L62" s="14" t="inlineStr">
        <is>
          <t>View</t>
        </is>
      </c>
    </row>
    <row r="63" ht="80" customHeight="1">
      <c r="A63" s="7" t="n">
        <v>58</v>
      </c>
      <c r="B63" s="7">
        <f>_xlfn.IMAGE("https://cdn.shopify.com/s/files/1/0642/4313/8648/files/15-Pt-Diamond-Tennis-Chain-68458-Diamond-1-gallery-7613c94b82.jpg?v=1755726284&amp;width=240",,0)</f>
        <v/>
      </c>
      <c r="C63" s="7" t="inlineStr">
        <is>
          <t>68458</t>
        </is>
      </c>
      <c r="D63" s="7" t="inlineStr">
        <is>
          <t>14K Gold 15 Pt Diamond Tennis Chain(Lab) 68458</t>
        </is>
      </c>
      <c r="E63" s="8" t="inlineStr">
        <is>
          <t>Lab-Grown</t>
        </is>
      </c>
      <c r="F63" s="9" t="n">
        <v>14600</v>
      </c>
      <c r="G63" s="9" t="n">
        <v>14600</v>
      </c>
      <c r="H63" s="7" t="n">
        <v>3</v>
      </c>
      <c r="I63" s="7" t="n">
        <v>0</v>
      </c>
      <c r="J63" s="7" t="inlineStr">
        <is>
          <t>AHMED - TraxNYC CVD</t>
        </is>
      </c>
      <c r="K63" s="7" t="inlineStr">
        <is>
          <t>OK</t>
        </is>
      </c>
      <c r="L63" s="10" t="inlineStr">
        <is>
          <t>View</t>
        </is>
      </c>
    </row>
    <row r="64" ht="80" customHeight="1">
      <c r="A64" s="7" t="n">
        <v>59</v>
      </c>
      <c r="B64" s="7">
        <f>_xlfn.IMAGE("https://cdn.shopify.com/s/files/1/0642/4313/8648/files/65_Pt_Diamond_Tennis_Chain_71715.png?v=1786549536&amp;width=240",,0)</f>
        <v/>
      </c>
      <c r="C64" s="7" t="inlineStr">
        <is>
          <t>71715</t>
        </is>
      </c>
      <c r="D64" s="7" t="inlineStr">
        <is>
          <t>14K Gold 65 Pt Lab-Grown Diamond Tennis Chain 71715</t>
        </is>
      </c>
      <c r="E64" s="8" t="inlineStr">
        <is>
          <t>Lab-Grown</t>
        </is>
      </c>
      <c r="F64" s="9" t="n">
        <v>15000</v>
      </c>
      <c r="G64" s="9" t="n">
        <v>18950</v>
      </c>
      <c r="H64" s="7" t="n">
        <v>12</v>
      </c>
      <c r="I64" s="7" t="n">
        <v>0</v>
      </c>
      <c r="J64" s="7" t="inlineStr">
        <is>
          <t>AHMED - MOON JEWELRY</t>
        </is>
      </c>
      <c r="K64" s="7" t="inlineStr">
        <is>
          <t>OK</t>
        </is>
      </c>
      <c r="L64" s="10" t="inlineStr">
        <is>
          <t>View</t>
        </is>
      </c>
    </row>
    <row r="65" ht="80" customHeight="1">
      <c r="A65" s="7" t="n">
        <v>60</v>
      </c>
      <c r="B65" s="7">
        <f>_xlfn.IMAGE("https://cdn.shopify.com/s/files/1/0642/4313/8648/files/10-Pt-Diamond-Tennis-22.25-inches-3.8-mm--69827-Style-1-gallery-26f841eca8.jpg?v=1755726779&amp;width=240",,0)</f>
        <v/>
      </c>
      <c r="C65" s="7" t="inlineStr">
        <is>
          <t>69827</t>
        </is>
      </c>
      <c r="D65" s="7" t="inlineStr">
        <is>
          <t>14K Gold Lab-Grown Diamond Tennis 22.25 inches 3.8 mm 69827</t>
        </is>
      </c>
      <c r="E65" s="8" t="inlineStr">
        <is>
          <t>Lab-Grown</t>
        </is>
      </c>
      <c r="F65" s="9" t="n">
        <v>15400</v>
      </c>
      <c r="G65" s="9" t="n">
        <v>15400</v>
      </c>
      <c r="H65" s="7" t="n">
        <v>3</v>
      </c>
      <c r="I65" s="7" t="n">
        <v>0</v>
      </c>
      <c r="J65" s="7" t="inlineStr">
        <is>
          <t>AHMED - MOON JEWELRY</t>
        </is>
      </c>
      <c r="K65" s="15" t="inlineStr">
        <is>
          <t>Fix title</t>
        </is>
      </c>
      <c r="L65" s="10" t="inlineStr">
        <is>
          <t>View</t>
        </is>
      </c>
    </row>
    <row r="66" ht="80" customHeight="1">
      <c r="A66" s="7" t="n">
        <v>61</v>
      </c>
      <c r="B66" s="7">
        <f>_xlfn.IMAGE("https://cdn.shopify.com/s/files/1/0642/4313/8648/files/15-Pointer-Diamond-Tennis-Chain-69111-Style-1-gallery-8f6e20b45c.jpg?v=1755726445&amp;width=240",,0)</f>
        <v/>
      </c>
      <c r="C66" s="7" t="inlineStr">
        <is>
          <t>69111</t>
        </is>
      </c>
      <c r="D66" s="7" t="inlineStr">
        <is>
          <t>14K Gold 15 Pointer Diamond Tennis Chain (Lab) 69111</t>
        </is>
      </c>
      <c r="E66" s="8" t="inlineStr">
        <is>
          <t>Lab-Grown</t>
        </is>
      </c>
      <c r="F66" s="9" t="n">
        <v>15700</v>
      </c>
      <c r="G66" s="9" t="n">
        <v>15700</v>
      </c>
      <c r="H66" s="7" t="n">
        <v>3</v>
      </c>
      <c r="I66" s="7" t="n">
        <v>0</v>
      </c>
      <c r="J66" s="7" t="inlineStr">
        <is>
          <t>AHMED - MOON JEWELRY</t>
        </is>
      </c>
      <c r="K66" s="7" t="inlineStr">
        <is>
          <t>OK</t>
        </is>
      </c>
      <c r="L66" s="10" t="inlineStr">
        <is>
          <t>View</t>
        </is>
      </c>
    </row>
    <row r="67" ht="80" customHeight="1">
      <c r="A67" s="7" t="n">
        <v>62</v>
      </c>
      <c r="B67" s="7">
        <f>_xlfn.IMAGE("https://cdn.shopify.com/s/files/1/0642/4313/8648/files/Tennis-Chain-24.2-inches-4.4-mm-69844-Style-1-gallery-0ae3c0e4a1.jpg?v=1755726796&amp;width=240",,0)</f>
        <v/>
      </c>
      <c r="C67" s="7" t="inlineStr">
        <is>
          <t>69844</t>
        </is>
      </c>
      <c r="D67" s="7" t="inlineStr">
        <is>
          <t>14K Gold Tennis Chain 24.2 inches 4.4 mm lab diamonds 69844</t>
        </is>
      </c>
      <c r="E67" s="8" t="inlineStr">
        <is>
          <t>Lab-Grown</t>
        </is>
      </c>
      <c r="F67" s="9" t="n">
        <v>16050</v>
      </c>
      <c r="G67" s="9" t="n">
        <v>16050</v>
      </c>
      <c r="H67" s="7" t="n">
        <v>1</v>
      </c>
      <c r="I67" s="7" t="n">
        <v>0</v>
      </c>
      <c r="J67" s="7" t="inlineStr">
        <is>
          <t>AHMED - MOON JEWELRY</t>
        </is>
      </c>
      <c r="K67" s="7" t="inlineStr">
        <is>
          <t>OK</t>
        </is>
      </c>
      <c r="L67" s="10" t="inlineStr">
        <is>
          <t>View</t>
        </is>
      </c>
    </row>
    <row r="68" ht="80" customHeight="1">
      <c r="A68" s="11" t="n">
        <v>63</v>
      </c>
      <c r="B68" s="11">
        <f>_xlfn.IMAGE("https://cdn.shopify.com/s/files/1/0642/4313/8648/files/14K-Gold-Diamond-Tennis-Chain-Necklace-22-Inches-3.1-mm--69816-Style-1-gallery-db35d3b8ac.jpg?v=1755726761&amp;width=240",,0)</f>
        <v/>
      </c>
      <c r="C68" s="11" t="inlineStr">
        <is>
          <t>69816</t>
        </is>
      </c>
      <c r="D68" s="11" t="inlineStr">
        <is>
          <t>14K Gold Diamond Tennis Chain Necklace 22 Inches 3.1 mm 69816</t>
        </is>
      </c>
      <c r="E68" s="12" t="inlineStr">
        <is>
          <t>Natural</t>
        </is>
      </c>
      <c r="F68" s="13" t="n">
        <v>16100</v>
      </c>
      <c r="G68" s="13" t="n">
        <v>16100</v>
      </c>
      <c r="H68" s="11" t="n">
        <v>3</v>
      </c>
      <c r="I68" s="11" t="n">
        <v>0</v>
      </c>
      <c r="J68" s="11" t="inlineStr">
        <is>
          <t>AHMED - MOON JEWELRY</t>
        </is>
      </c>
      <c r="K68" s="11" t="inlineStr">
        <is>
          <t>OK</t>
        </is>
      </c>
      <c r="L68" s="14" t="inlineStr">
        <is>
          <t>View</t>
        </is>
      </c>
    </row>
    <row r="69" ht="80" customHeight="1">
      <c r="A69" s="11" t="n">
        <v>64</v>
      </c>
      <c r="B69" s="11">
        <f>_xlfn.IMAGE("https://cdn.shopify.com/s/files/1/0642/4313/8648/files/14K-Gold-Diamond-Chain-67895-Metal-1-gallery-e50f912c8b.jpg?v=1755725872&amp;width=240",,0)</f>
        <v/>
      </c>
      <c r="C69" s="11" t="inlineStr">
        <is>
          <t>67895</t>
        </is>
      </c>
      <c r="D69" s="11" t="inlineStr">
        <is>
          <t>14K Gold Diamond Chain 67895</t>
        </is>
      </c>
      <c r="E69" s="12" t="inlineStr">
        <is>
          <t>Natural</t>
        </is>
      </c>
      <c r="F69" s="13" t="n">
        <v>16450</v>
      </c>
      <c r="G69" s="13" t="n">
        <v>16450</v>
      </c>
      <c r="H69" s="11" t="n">
        <v>3</v>
      </c>
      <c r="I69" s="11" t="n">
        <v>0</v>
      </c>
      <c r="J69" s="11" t="inlineStr">
        <is>
          <t>DANNY - TraxNYC CUSTOM</t>
        </is>
      </c>
      <c r="K69" s="11" t="inlineStr">
        <is>
          <t>OK</t>
        </is>
      </c>
      <c r="L69" s="14" t="inlineStr">
        <is>
          <t>View</t>
        </is>
      </c>
    </row>
    <row r="70" ht="80" customHeight="1">
      <c r="A70" s="7" t="n">
        <v>65</v>
      </c>
      <c r="B70" s="7">
        <f>_xlfn.IMAGE("https://cdn.shopify.com/s/files/1/0642/4313/8648/files/30-Pointer-Diamond-Tennis-Chain-69108-Style-1-gallery-8ac526a8a1.jpg?v=1755726441&amp;width=240",,0)</f>
        <v/>
      </c>
      <c r="C70" s="7" t="inlineStr">
        <is>
          <t>69108</t>
        </is>
      </c>
      <c r="D70" s="7" t="inlineStr">
        <is>
          <t>14K Gold 30 Pointer Diamond Tennis Chain (Lab) 69108</t>
        </is>
      </c>
      <c r="E70" s="8" t="inlineStr">
        <is>
          <t>Lab-Grown</t>
        </is>
      </c>
      <c r="F70" s="9" t="n">
        <v>16650</v>
      </c>
      <c r="G70" s="9" t="n">
        <v>16650</v>
      </c>
      <c r="H70" s="7" t="n">
        <v>3</v>
      </c>
      <c r="I70" s="7" t="n">
        <v>0</v>
      </c>
      <c r="J70" s="7" t="inlineStr">
        <is>
          <t>AHMED - MOON JEWELRY</t>
        </is>
      </c>
      <c r="K70" s="7" t="inlineStr">
        <is>
          <t>OK</t>
        </is>
      </c>
      <c r="L70" s="10" t="inlineStr">
        <is>
          <t>View</t>
        </is>
      </c>
    </row>
    <row r="71" ht="80" customHeight="1">
      <c r="A71" s="7" t="n">
        <v>66</v>
      </c>
      <c r="B71" s="7">
        <f>_xlfn.IMAGE("https://cdn.shopify.com/s/files/1/0642/4313/8648/files/1_b065808a-7c5a-45fa-821c-fe86d400b5be.jpg?v=1763164388&amp;width=240",,0)</f>
        <v/>
      </c>
      <c r="C71" s="7" t="inlineStr">
        <is>
          <t>70918</t>
        </is>
      </c>
      <c r="D71" s="7" t="inlineStr">
        <is>
          <t>14K Gold 75 Pointer Lab-Grown Diamond Tennis Chain 70918</t>
        </is>
      </c>
      <c r="E71" s="8" t="inlineStr">
        <is>
          <t>Lab-Grown</t>
        </is>
      </c>
      <c r="F71" s="9" t="n">
        <v>16750</v>
      </c>
      <c r="G71" s="9" t="n">
        <v>16750</v>
      </c>
      <c r="H71" s="7" t="n">
        <v>3</v>
      </c>
      <c r="I71" s="7" t="n">
        <v>-1</v>
      </c>
      <c r="J71" s="7" t="inlineStr">
        <is>
          <t>AHMED - MOON JEWELRY</t>
        </is>
      </c>
      <c r="K71" s="7" t="inlineStr">
        <is>
          <t>OK</t>
        </is>
      </c>
      <c r="L71" s="10" t="inlineStr">
        <is>
          <t>View</t>
        </is>
      </c>
    </row>
    <row r="72" ht="80" customHeight="1">
      <c r="A72" s="7" t="n">
        <v>67</v>
      </c>
      <c r="B72" s="7">
        <f>_xlfn.IMAGE("https://cdn.shopify.com/s/files/1/0642/4313/8648/files/80_Pt_Diamond_Tennis_Chain_71717.png?v=1786549808&amp;width=240",,0)</f>
        <v/>
      </c>
      <c r="C72" s="7" t="inlineStr">
        <is>
          <t>71717</t>
        </is>
      </c>
      <c r="D72" s="7" t="inlineStr">
        <is>
          <t>14K Gold 80 Pt Lab-Grown Diamond Tennis Chain 71717</t>
        </is>
      </c>
      <c r="E72" s="8" t="inlineStr">
        <is>
          <t>Lab-Grown</t>
        </is>
      </c>
      <c r="F72" s="9" t="n">
        <v>16750</v>
      </c>
      <c r="G72" s="9" t="n">
        <v>22750</v>
      </c>
      <c r="H72" s="7" t="n">
        <v>12</v>
      </c>
      <c r="I72" s="7" t="n">
        <v>0</v>
      </c>
      <c r="J72" s="7" t="inlineStr">
        <is>
          <t>AHMED - MOON JEWELRY</t>
        </is>
      </c>
      <c r="K72" s="7" t="inlineStr">
        <is>
          <t>OK</t>
        </is>
      </c>
      <c r="L72" s="10" t="inlineStr">
        <is>
          <t>View</t>
        </is>
      </c>
    </row>
    <row r="73" ht="80" customHeight="1">
      <c r="A73" s="11" t="n">
        <v>68</v>
      </c>
      <c r="B73" s="11">
        <f>_xlfn.IMAGE("https://cdn.shopify.com/s/files/1/0642/4313/8648/files/14K-Gold-Diamond-Tennis-Chain-Necklace-22-Inches-3mm-15.02ct-66473-Diamond-1-gallery-db35d3b8ac.jpg?v=1755725432&amp;width=240",,0)</f>
        <v/>
      </c>
      <c r="C73" s="11" t="inlineStr">
        <is>
          <t>66473</t>
        </is>
      </c>
      <c r="D73" s="11" t="inlineStr">
        <is>
          <t>14K Gold Diamond Tennis Chain Necklace 22 Inches 3mm 66473</t>
        </is>
      </c>
      <c r="E73" s="12" t="inlineStr">
        <is>
          <t>Natural</t>
        </is>
      </c>
      <c r="F73" s="13" t="n">
        <v>16900</v>
      </c>
      <c r="G73" s="13" t="n">
        <v>16900</v>
      </c>
      <c r="H73" s="11" t="n">
        <v>3</v>
      </c>
      <c r="I73" s="11" t="n">
        <v>0</v>
      </c>
      <c r="J73" s="11" t="inlineStr">
        <is>
          <t>RINA - TraxNYC FACTORY</t>
        </is>
      </c>
      <c r="K73" s="11" t="inlineStr">
        <is>
          <t>OK</t>
        </is>
      </c>
      <c r="L73" s="14" t="inlineStr">
        <is>
          <t>View</t>
        </is>
      </c>
    </row>
    <row r="74" ht="80" customHeight="1">
      <c r="A74" s="7" t="n">
        <v>69</v>
      </c>
      <c r="B74" s="7">
        <f>_xlfn.IMAGE("https://cdn.shopify.com/s/files/1/0642/4313/8648/files/15-Pointer-Diamond-Tennis-Chain-69110-Style-1-gallery-8f6e20b45c.jpg?v=1755726444&amp;width=240",,0)</f>
        <v/>
      </c>
      <c r="C74" s="7" t="inlineStr">
        <is>
          <t>69110</t>
        </is>
      </c>
      <c r="D74" s="7" t="inlineStr">
        <is>
          <t>14K Gold 15 Pointer Diamond Tennis Chain (Lab) 69110</t>
        </is>
      </c>
      <c r="E74" s="8" t="inlineStr">
        <is>
          <t>Lab-Grown</t>
        </is>
      </c>
      <c r="F74" s="9" t="n">
        <v>16900</v>
      </c>
      <c r="G74" s="9" t="n">
        <v>16900</v>
      </c>
      <c r="H74" s="7" t="n">
        <v>3</v>
      </c>
      <c r="I74" s="7" t="n">
        <v>0</v>
      </c>
      <c r="J74" s="7" t="inlineStr">
        <is>
          <t>AHMED - MOON JEWELRY</t>
        </is>
      </c>
      <c r="K74" s="7" t="inlineStr">
        <is>
          <t>OK</t>
        </is>
      </c>
      <c r="L74" s="10" t="inlineStr">
        <is>
          <t>View</t>
        </is>
      </c>
    </row>
    <row r="75" ht="80" customHeight="1">
      <c r="A75" s="7" t="n">
        <v>70</v>
      </c>
      <c r="B75" s="7">
        <f>_xlfn.IMAGE("https://cdn.shopify.com/s/files/1/0642/4313/8648/files/20-Pt-CVD-Tennis-Chain-67749-Diamond-2-gallery-4f3633b9de.jpg?v=1755725816&amp;width=240",,0)</f>
        <v/>
      </c>
      <c r="C75" s="7" t="inlineStr">
        <is>
          <t>67749</t>
        </is>
      </c>
      <c r="D75" s="7" t="inlineStr">
        <is>
          <t>14K Gold 20 Pointer Lab-Grown Diamond Tennis Chain 67749</t>
        </is>
      </c>
      <c r="E75" s="8" t="inlineStr">
        <is>
          <t>Lab-Grown</t>
        </is>
      </c>
      <c r="F75" s="9" t="n">
        <v>17500</v>
      </c>
      <c r="G75" s="9" t="n">
        <v>17500</v>
      </c>
      <c r="H75" s="7" t="n">
        <v>3</v>
      </c>
      <c r="I75" s="7" t="n">
        <v>0</v>
      </c>
      <c r="J75" s="7" t="inlineStr">
        <is>
          <t>AHMED - TraxNYC CVD</t>
        </is>
      </c>
      <c r="K75" s="7" t="inlineStr">
        <is>
          <t>OK</t>
        </is>
      </c>
      <c r="L75" s="10" t="inlineStr">
        <is>
          <t>View</t>
        </is>
      </c>
    </row>
    <row r="76" ht="80" customHeight="1">
      <c r="A76" s="11" t="n">
        <v>71</v>
      </c>
      <c r="B76" s="11">
        <f>_xlfn.IMAGE("https://cdn.shopify.com/s/files/1/0642/4313/8648/files/Diamond-Tennis-Chain-69078-Style-1-gallery-57b302a282.jpg?v=1755726424&amp;width=240",,0)</f>
        <v/>
      </c>
      <c r="C76" s="11" t="inlineStr">
        <is>
          <t>69078</t>
        </is>
      </c>
      <c r="D76" s="11" t="inlineStr">
        <is>
          <t>14K Gold 7 Pointer Diamond Tennis Chain 69078</t>
        </is>
      </c>
      <c r="E76" s="12" t="inlineStr">
        <is>
          <t>Natural</t>
        </is>
      </c>
      <c r="F76" s="13" t="n">
        <v>17500</v>
      </c>
      <c r="G76" s="13" t="n">
        <v>17500</v>
      </c>
      <c r="H76" s="11" t="n">
        <v>3</v>
      </c>
      <c r="I76" s="11" t="n">
        <v>0</v>
      </c>
      <c r="J76" s="11" t="inlineStr">
        <is>
          <t>AHMED - MOON JEWELRY</t>
        </is>
      </c>
      <c r="K76" s="11" t="inlineStr">
        <is>
          <t>OK</t>
        </is>
      </c>
      <c r="L76" s="14" t="inlineStr">
        <is>
          <t>View</t>
        </is>
      </c>
    </row>
    <row r="77" ht="80" customHeight="1">
      <c r="A77" s="7" t="n">
        <v>72</v>
      </c>
      <c r="B77" s="7">
        <f>_xlfn.IMAGE("https://cdn.shopify.com/s/files/1/0642/4313/8648/files/Emerald-Cut-Diamond-Tennis-Chain-69509-Style-1-1707166110-gallery-ede60acd21.jpg?v=1755726595&amp;width=240",,0)</f>
        <v/>
      </c>
      <c r="C77" s="7" t="inlineStr">
        <is>
          <t>69509</t>
        </is>
      </c>
      <c r="D77" s="7" t="inlineStr">
        <is>
          <t>14K Gold Emerald Cut Lab-Grown Diamond Tennis Chain 69509</t>
        </is>
      </c>
      <c r="E77" s="8" t="inlineStr">
        <is>
          <t>Lab-Grown</t>
        </is>
      </c>
      <c r="F77" s="9" t="n">
        <v>17700</v>
      </c>
      <c r="G77" s="9" t="n">
        <v>17700</v>
      </c>
      <c r="H77" s="7" t="n">
        <v>3</v>
      </c>
      <c r="I77" s="7" t="n">
        <v>0</v>
      </c>
      <c r="J77" s="7" t="inlineStr">
        <is>
          <t>RINA - TraxNYC CUSTOM CVD</t>
        </is>
      </c>
      <c r="K77" s="7" t="inlineStr">
        <is>
          <t>OK</t>
        </is>
      </c>
      <c r="L77" s="10" t="inlineStr">
        <is>
          <t>View</t>
        </is>
      </c>
    </row>
    <row r="78" ht="80" customHeight="1">
      <c r="A78" s="7" t="n">
        <v>73</v>
      </c>
      <c r="B78" s="7">
        <f>_xlfn.IMAGE("https://cdn.shopify.com/s/files/1/0642/4313/8648/files/3.png?v=1763445733&amp;width=240",,0)</f>
        <v/>
      </c>
      <c r="C78" s="7" t="inlineStr">
        <is>
          <t>69109</t>
        </is>
      </c>
      <c r="D78" s="7" t="inlineStr">
        <is>
          <t>14K Gold 20 Pointer Diamond Tennis Chain (Lab) 69109</t>
        </is>
      </c>
      <c r="E78" s="8" t="inlineStr">
        <is>
          <t>Lab-Grown</t>
        </is>
      </c>
      <c r="F78" s="9" t="n">
        <v>18300</v>
      </c>
      <c r="G78" s="9" t="n">
        <v>18300</v>
      </c>
      <c r="H78" s="7" t="n">
        <v>3</v>
      </c>
      <c r="I78" s="7" t="n">
        <v>-1</v>
      </c>
      <c r="J78" s="7" t="inlineStr">
        <is>
          <t>AHMED - MOON JEWELRY</t>
        </is>
      </c>
      <c r="K78" s="7" t="inlineStr">
        <is>
          <t>OK</t>
        </is>
      </c>
      <c r="L78" s="10" t="inlineStr">
        <is>
          <t>View</t>
        </is>
      </c>
    </row>
    <row r="79" ht="80" customHeight="1">
      <c r="A79" s="11" t="n">
        <v>74</v>
      </c>
      <c r="B79" s="11">
        <f>_xlfn.IMAGE("https://cdn.shopify.com/s/files/1/0642/4313/8648/files/14K-Rose-Gold-Diamond-Tennis-Chain-65081-Diamond-1-gallery-5280af70a8.jpg?v=1755718836&amp;width=240",,0)</f>
        <v/>
      </c>
      <c r="C79" s="11" t="inlineStr">
        <is>
          <t>65081</t>
        </is>
      </c>
      <c r="D79" s="11" t="inlineStr">
        <is>
          <t>14K Rose Gold Diamond Tennis Chain 65081</t>
        </is>
      </c>
      <c r="E79" s="12" t="inlineStr">
        <is>
          <t>Natural</t>
        </is>
      </c>
      <c r="F79" s="13" t="n">
        <v>18450</v>
      </c>
      <c r="G79" s="13" t="n">
        <v>18450</v>
      </c>
      <c r="H79" s="11" t="n">
        <v>3</v>
      </c>
      <c r="I79" s="11" t="n">
        <v>0</v>
      </c>
      <c r="J79" s="11" t="inlineStr">
        <is>
          <t>RINA - TraxNYC FACTORY</t>
        </is>
      </c>
      <c r="K79" s="11" t="inlineStr">
        <is>
          <t>OK</t>
        </is>
      </c>
      <c r="L79" s="14" t="inlineStr">
        <is>
          <t>View</t>
        </is>
      </c>
    </row>
    <row r="80" ht="80" customHeight="1">
      <c r="A80" s="7" t="n">
        <v>75</v>
      </c>
      <c r="B80" s="7">
        <f>_xlfn.IMAGE("https://cdn.shopify.com/s/files/1/0642/4313/8648/files/Tennis-Chain-24.25-inches-4-mm-69826-Style-1-gallery-0ae3c0e4a1.jpg?v=1755726778&amp;width=240",,0)</f>
        <v/>
      </c>
      <c r="C80" s="7" t="inlineStr">
        <is>
          <t>69826</t>
        </is>
      </c>
      <c r="D80" s="7" t="inlineStr">
        <is>
          <t>14K Gold Lab-Grown Diamond Tennis Chain 24.25 inches 4 mm 69826</t>
        </is>
      </c>
      <c r="E80" s="8" t="inlineStr">
        <is>
          <t>Lab-Grown</t>
        </is>
      </c>
      <c r="F80" s="9" t="n">
        <v>18700</v>
      </c>
      <c r="G80" s="9" t="n">
        <v>18700</v>
      </c>
      <c r="H80" s="7" t="n">
        <v>3</v>
      </c>
      <c r="I80" s="7" t="n">
        <v>0</v>
      </c>
      <c r="J80" s="7" t="inlineStr">
        <is>
          <t>AHMED - MOON JEWELRY</t>
        </is>
      </c>
      <c r="K80" s="7" t="inlineStr">
        <is>
          <t>OK</t>
        </is>
      </c>
      <c r="L80" s="10" t="inlineStr">
        <is>
          <t>View</t>
        </is>
      </c>
    </row>
    <row r="81" ht="80" customHeight="1">
      <c r="A81" s="7" t="n">
        <v>76</v>
      </c>
      <c r="B81" s="7">
        <f>_xlfn.IMAGE("https://cdn.shopify.com/s/files/1/0642/4313/8648/files/1_Ct_Each_Diamond_Tennis_Chain_71718.png?v=1786549986&amp;width=240",,0)</f>
        <v/>
      </c>
      <c r="C81" s="7" t="inlineStr">
        <is>
          <t>71718</t>
        </is>
      </c>
      <c r="D81" s="7" t="inlineStr">
        <is>
          <t>14K Gold 1 Ct Each Lab-Grown Diamond Tennis Chain 71718</t>
        </is>
      </c>
      <c r="E81" s="8" t="inlineStr">
        <is>
          <t>Lab-Grown</t>
        </is>
      </c>
      <c r="F81" s="9" t="n">
        <v>19000</v>
      </c>
      <c r="G81" s="9" t="n">
        <v>25500</v>
      </c>
      <c r="H81" s="7" t="n">
        <v>12</v>
      </c>
      <c r="I81" s="7" t="n">
        <v>0</v>
      </c>
      <c r="J81" s="7" t="inlineStr">
        <is>
          <t>AHMED - MOON JEWELRY</t>
        </is>
      </c>
      <c r="K81" s="7" t="inlineStr">
        <is>
          <t>OK</t>
        </is>
      </c>
      <c r="L81" s="10" t="inlineStr">
        <is>
          <t>View</t>
        </is>
      </c>
    </row>
    <row r="82" ht="80" customHeight="1">
      <c r="A82" s="11" t="n">
        <v>77</v>
      </c>
      <c r="B82" s="11">
        <f>_xlfn.IMAGE("https://cdn.shopify.com/s/files/1/0642/4313/8648/files/0.065-Pointer-Parcel-Diamond-Tennis-Chain-66911-Diamond-1-gallery-4f4089c103.jpg?v=1755725613&amp;width=240",,0)</f>
        <v/>
      </c>
      <c r="C82" s="11" t="inlineStr">
        <is>
          <t>66911</t>
        </is>
      </c>
      <c r="D82" s="11" t="inlineStr">
        <is>
          <t>14K Gold 7 Pointer Parcel Diamond Tennis Chain 66911</t>
        </is>
      </c>
      <c r="E82" s="12" t="inlineStr">
        <is>
          <t>Natural</t>
        </is>
      </c>
      <c r="F82" s="13" t="n">
        <v>19200</v>
      </c>
      <c r="G82" s="13" t="n">
        <v>19200</v>
      </c>
      <c r="H82" s="11" t="n">
        <v>3</v>
      </c>
      <c r="I82" s="11" t="n">
        <v>0</v>
      </c>
      <c r="J82" s="11" t="inlineStr">
        <is>
          <t>AHMED - MOON JEWELRY</t>
        </is>
      </c>
      <c r="K82" s="11" t="inlineStr">
        <is>
          <t>OK</t>
        </is>
      </c>
      <c r="L82" s="14" t="inlineStr">
        <is>
          <t>View</t>
        </is>
      </c>
    </row>
    <row r="83" ht="80" customHeight="1">
      <c r="A83" s="11" t="n">
        <v>78</v>
      </c>
      <c r="B83" s="11">
        <f>_xlfn.IMAGE("https://cdn.shopify.com/s/files/1/0642/4313/8648/files/14K-Yellow-Gold-Diamond-Tennis-Chain-66029-Diamond-1-gallery-48d5f1ab3f.jpg?v=1755725205&amp;width=240",,0)</f>
        <v/>
      </c>
      <c r="C83" s="11" t="inlineStr">
        <is>
          <t>66029</t>
        </is>
      </c>
      <c r="D83" s="11" t="inlineStr">
        <is>
          <t>14K Yellow Gold Diamond Tennis Chain 22 Inches 3mm 66029</t>
        </is>
      </c>
      <c r="E83" s="12" t="inlineStr">
        <is>
          <t>Natural</t>
        </is>
      </c>
      <c r="F83" s="13" t="n">
        <v>19450</v>
      </c>
      <c r="G83" s="13" t="n">
        <v>19450</v>
      </c>
      <c r="H83" s="11" t="n">
        <v>3</v>
      </c>
      <c r="I83" s="11" t="n">
        <v>0</v>
      </c>
      <c r="J83" s="11" t="inlineStr">
        <is>
          <t>RINA - TraxNYC FACTORY</t>
        </is>
      </c>
      <c r="K83" s="15" t="inlineStr">
        <is>
          <t>Fix title</t>
        </is>
      </c>
      <c r="L83" s="14" t="inlineStr">
        <is>
          <t>View</t>
        </is>
      </c>
    </row>
    <row r="84" ht="80" customHeight="1">
      <c r="A84" s="7" t="n">
        <v>79</v>
      </c>
      <c r="B84" s="7">
        <f>_xlfn.IMAGE("https://cdn.shopify.com/s/files/1/0642/4313/8648/files/67892_image_01_102f47cc.jpg?v=1755736517&amp;width=240",,0)</f>
        <v/>
      </c>
      <c r="C84" s="7" t="inlineStr">
        <is>
          <t>67892</t>
        </is>
      </c>
      <c r="D84" s="7" t="inlineStr">
        <is>
          <t>14K Gold 20 PT Lab-Grown Diamond Tennis Chain 67892</t>
        </is>
      </c>
      <c r="E84" s="8" t="inlineStr">
        <is>
          <t>Lab-Grown</t>
        </is>
      </c>
      <c r="F84" s="9" t="n">
        <v>19950</v>
      </c>
      <c r="G84" s="9" t="n">
        <v>19950</v>
      </c>
      <c r="H84" s="7" t="n">
        <v>3</v>
      </c>
      <c r="I84" s="7" t="n">
        <v>-1</v>
      </c>
      <c r="J84" s="7" t="inlineStr">
        <is>
          <t>AHMED - TraxNYC CVD</t>
        </is>
      </c>
      <c r="K84" s="7" t="inlineStr">
        <is>
          <t>OK</t>
        </is>
      </c>
      <c r="L84" s="10" t="inlineStr">
        <is>
          <t>View</t>
        </is>
      </c>
    </row>
    <row r="85" ht="80" customHeight="1">
      <c r="A85" s="7" t="n">
        <v>80</v>
      </c>
      <c r="B85" s="7">
        <f>_xlfn.IMAGE("https://cdn.shopify.com/s/files/1/0642/4313/8648/files/Emerald-Cut-Diamond-Tennis-Chain-69510-Style-1-1707169284-gallery-f85c95ed83.jpg?v=1755726597&amp;width=240",,0)</f>
        <v/>
      </c>
      <c r="C85" s="7" t="inlineStr">
        <is>
          <t>69510</t>
        </is>
      </c>
      <c r="D85" s="7" t="inlineStr">
        <is>
          <t>14K Gold Emerald Cut Lab-Grown Diamond Tennis Chain 69510</t>
        </is>
      </c>
      <c r="E85" s="8" t="inlineStr">
        <is>
          <t>Lab-Grown</t>
        </is>
      </c>
      <c r="F85" s="9" t="n">
        <v>20100</v>
      </c>
      <c r="G85" s="9" t="n">
        <v>20100</v>
      </c>
      <c r="H85" s="7" t="n">
        <v>3</v>
      </c>
      <c r="I85" s="7" t="n">
        <v>0</v>
      </c>
      <c r="J85" s="7" t="inlineStr">
        <is>
          <t>RINA - TraxNYC CUSTOM CVD</t>
        </is>
      </c>
      <c r="K85" s="7" t="inlineStr">
        <is>
          <t>OK</t>
        </is>
      </c>
      <c r="L85" s="10" t="inlineStr">
        <is>
          <t>View</t>
        </is>
      </c>
    </row>
    <row r="86" ht="80" customHeight="1">
      <c r="A86" s="11" t="n">
        <v>81</v>
      </c>
      <c r="B86" s="11">
        <f>_xlfn.IMAGE("https://cdn.shopify.com/s/files/1/0642/4313/8648/files/14K-Rose-Gold-Diamond-Tennis-Chain-65884-Diamond-1-gallery-cac22e73b8.jpg?v=1755718965&amp;width=240",,0)</f>
        <v/>
      </c>
      <c r="C86" s="11" t="inlineStr">
        <is>
          <t>65884</t>
        </is>
      </c>
      <c r="D86" s="11" t="inlineStr">
        <is>
          <t>14K Rose Gold Diamond Tennis Chain 22 Inches 3mm 65884</t>
        </is>
      </c>
      <c r="E86" s="12" t="inlineStr">
        <is>
          <t>Natural</t>
        </is>
      </c>
      <c r="F86" s="13" t="n">
        <v>20250</v>
      </c>
      <c r="G86" s="13" t="n">
        <v>20250</v>
      </c>
      <c r="H86" s="11" t="n">
        <v>3</v>
      </c>
      <c r="I86" s="11" t="n">
        <v>0</v>
      </c>
      <c r="J86" s="11" t="inlineStr">
        <is>
          <t>RINA - TraxNYC FACTORY</t>
        </is>
      </c>
      <c r="K86" s="15" t="inlineStr">
        <is>
          <t>Fix title</t>
        </is>
      </c>
      <c r="L86" s="14" t="inlineStr">
        <is>
          <t>View</t>
        </is>
      </c>
    </row>
    <row r="87" ht="80" customHeight="1">
      <c r="A87" s="11" t="n">
        <v>82</v>
      </c>
      <c r="B87" s="11">
        <f>_xlfn.IMAGE("https://cdn.shopify.com/s/files/1/0642/4313/8648/files/Barbed-Wire-Diamond-Tennis-Chain-69705-Style-1-1714246930-gallery-324ecc89b0.jpg?v=1755726697&amp;width=240",,0)</f>
        <v/>
      </c>
      <c r="C87" s="11" t="inlineStr">
        <is>
          <t>69705</t>
        </is>
      </c>
      <c r="D87" s="11" t="inlineStr">
        <is>
          <t>14K Gold Barbed Wire Diamond Tennis Chain 69705</t>
        </is>
      </c>
      <c r="E87" s="12" t="inlineStr">
        <is>
          <t>Natural</t>
        </is>
      </c>
      <c r="F87" s="13" t="n">
        <v>20550</v>
      </c>
      <c r="G87" s="13" t="n">
        <v>20550</v>
      </c>
      <c r="H87" s="11" t="n">
        <v>2</v>
      </c>
      <c r="I87" s="11" t="n">
        <v>0</v>
      </c>
      <c r="J87" s="11" t="inlineStr">
        <is>
          <t>JALGAS - AMERICAS GOLD</t>
        </is>
      </c>
      <c r="K87" s="11" t="inlineStr">
        <is>
          <t>OK</t>
        </is>
      </c>
      <c r="L87" s="14" t="inlineStr">
        <is>
          <t>View</t>
        </is>
      </c>
    </row>
    <row r="88" ht="80" customHeight="1">
      <c r="A88" s="11" t="n">
        <v>83</v>
      </c>
      <c r="B88" s="11">
        <f>_xlfn.IMAGE("https://cdn.shopify.com/s/files/1/0642/4313/8648/files/Diamond-Tennis-Chain-69080-Style-1-gallery-ce6025132e.jpg?v=1755726426&amp;width=240",,0)</f>
        <v/>
      </c>
      <c r="C88" s="11" t="inlineStr">
        <is>
          <t>69080</t>
        </is>
      </c>
      <c r="D88" s="11" t="inlineStr">
        <is>
          <t>14K Gold Diamond Tennis Chain 69080</t>
        </is>
      </c>
      <c r="E88" s="12" t="inlineStr">
        <is>
          <t>Natural</t>
        </is>
      </c>
      <c r="F88" s="13" t="n">
        <v>20800</v>
      </c>
      <c r="G88" s="13" t="n">
        <v>20800</v>
      </c>
      <c r="H88" s="11" t="n">
        <v>3</v>
      </c>
      <c r="I88" s="11" t="n">
        <v>0</v>
      </c>
      <c r="J88" s="11" t="inlineStr">
        <is>
          <t>AHMED - MOON JEWELRY</t>
        </is>
      </c>
      <c r="K88" s="11" t="inlineStr">
        <is>
          <t>OK</t>
        </is>
      </c>
      <c r="L88" s="14" t="inlineStr">
        <is>
          <t>View</t>
        </is>
      </c>
    </row>
    <row r="89" ht="80" customHeight="1">
      <c r="A89" s="11" t="n">
        <v>84</v>
      </c>
      <c r="B89" s="11">
        <f>_xlfn.IMAGE("https://cdn.shopify.com/s/files/1/0642/4313/8648/files/TraxNYC-Signature-7-Pointers-14K-Yellow-Gold-Diamond-Tennis-Chain-66005-Diamond-1-gallery-fa33866fc7.jpg?v=1755725188&amp;width=240",,0)</f>
        <v/>
      </c>
      <c r="C89" s="11" t="inlineStr">
        <is>
          <t>66005</t>
        </is>
      </c>
      <c r="D89" s="11" t="inlineStr">
        <is>
          <t>TraxNYC Signature 7 Pointers 14K Yellow Gold Diamond Tennis Chain 66005</t>
        </is>
      </c>
      <c r="E89" s="12" t="inlineStr">
        <is>
          <t>Natural</t>
        </is>
      </c>
      <c r="F89" s="13" t="n">
        <v>20900</v>
      </c>
      <c r="G89" s="13" t="n">
        <v>20900</v>
      </c>
      <c r="H89" s="11" t="n">
        <v>1</v>
      </c>
      <c r="I89" s="11" t="n">
        <v>0</v>
      </c>
      <c r="J89" s="11" t="inlineStr">
        <is>
          <t>AHMED - MOON JEWELRY</t>
        </is>
      </c>
      <c r="K89" s="11" t="inlineStr">
        <is>
          <t>OK</t>
        </is>
      </c>
      <c r="L89" s="14" t="inlineStr">
        <is>
          <t>View</t>
        </is>
      </c>
    </row>
    <row r="90" ht="80" customHeight="1">
      <c r="A90" s="7" t="n">
        <v>85</v>
      </c>
      <c r="B90" s="7">
        <f>_xlfn.IMAGE("https://cdn.shopify.com/s/files/1/0642/4313/8648/files/30-Pointer-Tennis-Chain-68703-Style-1-gallery-0ae3c0e4a1.jpg?v=1755726341&amp;width=240",,0)</f>
        <v/>
      </c>
      <c r="C90" s="7" t="inlineStr">
        <is>
          <t>68703</t>
        </is>
      </c>
      <c r="D90" s="7" t="inlineStr">
        <is>
          <t>14K Gold 30 Pointer Lab-Grown Diamond Tennis Chain 68703</t>
        </is>
      </c>
      <c r="E90" s="8" t="inlineStr">
        <is>
          <t>Lab-Grown</t>
        </is>
      </c>
      <c r="F90" s="9" t="n">
        <v>20900</v>
      </c>
      <c r="G90" s="9" t="n">
        <v>20900</v>
      </c>
      <c r="H90" s="7" t="n">
        <v>1</v>
      </c>
      <c r="I90" s="7" t="n">
        <v>0</v>
      </c>
      <c r="J90" s="7" t="inlineStr">
        <is>
          <t>AHMED - TraxNYC CVD</t>
        </is>
      </c>
      <c r="K90" s="7" t="inlineStr">
        <is>
          <t>OK</t>
        </is>
      </c>
      <c r="L90" s="10" t="inlineStr">
        <is>
          <t>View</t>
        </is>
      </c>
    </row>
    <row r="91" ht="80" customHeight="1">
      <c r="A91" s="7" t="n">
        <v>86</v>
      </c>
      <c r="B91" s="7">
        <f>_xlfn.IMAGE("https://cdn.shopify.com/s/files/1/0642/4313/8648/files/25-Pointer-Diamond-Tennis-Chain-4.3mm-24.5-Inches--69811-Diamond-1-gallery-65f2b7e31a.jpg?v=1755726755&amp;width=240",,0)</f>
        <v/>
      </c>
      <c r="C91" s="7" t="inlineStr">
        <is>
          <t>69811</t>
        </is>
      </c>
      <c r="D91" s="7" t="inlineStr">
        <is>
          <t>14K Gold 25 Pointer Lab-Grown Diamond Tennis Chain 4.3mm 24.5 Inches 69811</t>
        </is>
      </c>
      <c r="E91" s="8" t="inlineStr">
        <is>
          <t>Lab-Grown</t>
        </is>
      </c>
      <c r="F91" s="9" t="n">
        <v>20900</v>
      </c>
      <c r="G91" s="9" t="n">
        <v>20900</v>
      </c>
      <c r="H91" s="7" t="n">
        <v>3</v>
      </c>
      <c r="I91" s="7" t="n">
        <v>0</v>
      </c>
      <c r="J91" s="7" t="inlineStr">
        <is>
          <t>AHMED - MOON JEWELRY</t>
        </is>
      </c>
      <c r="K91" s="7" t="inlineStr">
        <is>
          <t>OK</t>
        </is>
      </c>
      <c r="L91" s="10" t="inlineStr">
        <is>
          <t>View</t>
        </is>
      </c>
    </row>
    <row r="92" ht="80" customHeight="1">
      <c r="A92" s="7" t="n">
        <v>87</v>
      </c>
      <c r="B92" s="7">
        <f>_xlfn.IMAGE("https://cdn.shopify.com/s/files/1/0642/4313/8648/files/25-Pointer-Diamond-Tennis-Chain-_Lab_-68574-Diamond-1-gallery-4694646674.jpg?v=1755726308&amp;width=240",,0)</f>
        <v/>
      </c>
      <c r="C92" s="7" t="inlineStr">
        <is>
          <t>68574</t>
        </is>
      </c>
      <c r="D92" s="7" t="inlineStr">
        <is>
          <t>14K Gold 25 Pointer Diamond Tennis Necklace (Lab) 68574</t>
        </is>
      </c>
      <c r="E92" s="8" t="inlineStr">
        <is>
          <t>Lab-Grown</t>
        </is>
      </c>
      <c r="F92" s="9" t="n">
        <v>21100</v>
      </c>
      <c r="G92" s="9" t="n">
        <v>21100</v>
      </c>
      <c r="H92" s="7" t="n">
        <v>3</v>
      </c>
      <c r="I92" s="7" t="n">
        <v>0</v>
      </c>
      <c r="J92" s="7" t="inlineStr">
        <is>
          <t>AHMED - TraxNYC CVD</t>
        </is>
      </c>
      <c r="K92" s="7" t="inlineStr">
        <is>
          <t>OK</t>
        </is>
      </c>
      <c r="L92" s="10" t="inlineStr">
        <is>
          <t>View</t>
        </is>
      </c>
    </row>
    <row r="93" ht="80" customHeight="1">
      <c r="A93" s="11" t="n">
        <v>88</v>
      </c>
      <c r="B93" s="11">
        <f>_xlfn.IMAGE("https://cdn.shopify.com/s/files/1/0642/4313/8648/files/14K-Yellow-Gold-Diamond-Tennis-Chain-66636-Diamond-1-gallery-e1bbbd10b7.jpg?v=1755725561&amp;width=240",,0)</f>
        <v/>
      </c>
      <c r="C93" s="11" t="inlineStr">
        <is>
          <t>66636</t>
        </is>
      </c>
      <c r="D93" s="11" t="inlineStr">
        <is>
          <t>14K Yellow Gold Diamond Tennis Chain 16 Inches 3.5mm 66636</t>
        </is>
      </c>
      <c r="E93" s="12" t="inlineStr">
        <is>
          <t>Natural</t>
        </is>
      </c>
      <c r="F93" s="13" t="n">
        <v>21250</v>
      </c>
      <c r="G93" s="13" t="n">
        <v>21250</v>
      </c>
      <c r="H93" s="11" t="n">
        <v>3</v>
      </c>
      <c r="I93" s="11" t="n">
        <v>0</v>
      </c>
      <c r="J93" s="11" t="inlineStr">
        <is>
          <t>RINA - TraxNYC FACTORY</t>
        </is>
      </c>
      <c r="K93" s="11" t="inlineStr">
        <is>
          <t>OK</t>
        </is>
      </c>
      <c r="L93" s="14" t="inlineStr">
        <is>
          <t>View</t>
        </is>
      </c>
    </row>
    <row r="94" ht="80" customHeight="1">
      <c r="A94" s="11" t="n">
        <v>89</v>
      </c>
      <c r="B94" s="11">
        <f>_xlfn.IMAGE("https://cdn.shopify.com/s/files/1/0642/4313/8648/files/Diamond-Tennis-Chain-69083-Style-1-gallery-426ff20141.jpg?v=1756446930&amp;width=240",,0)</f>
        <v/>
      </c>
      <c r="C94" s="11" t="inlineStr">
        <is>
          <t>69083</t>
        </is>
      </c>
      <c r="D94" s="11" t="inlineStr">
        <is>
          <t>14K Gold 10 Pointer Diamond Tennis Chain 69083</t>
        </is>
      </c>
      <c r="E94" s="12" t="inlineStr">
        <is>
          <t>Natural</t>
        </is>
      </c>
      <c r="F94" s="13" t="n">
        <v>21750</v>
      </c>
      <c r="G94" s="13" t="n">
        <v>21750</v>
      </c>
      <c r="H94" s="11" t="n">
        <v>3</v>
      </c>
      <c r="I94" s="11" t="n">
        <v>0</v>
      </c>
      <c r="J94" s="11" t="inlineStr">
        <is>
          <t>AHMED - MOON JEWELRY</t>
        </is>
      </c>
      <c r="K94" s="11" t="inlineStr">
        <is>
          <t>OK</t>
        </is>
      </c>
      <c r="L94" s="14" t="inlineStr">
        <is>
          <t>View</t>
        </is>
      </c>
    </row>
    <row r="95" ht="80" customHeight="1">
      <c r="A95" s="7" t="n">
        <v>90</v>
      </c>
      <c r="B95" s="7">
        <f>_xlfn.IMAGE("https://cdn.shopify.com/s/files/1/0642/4313/8648/files/Baguette-Beam-Necklace-70687-Style-1-1751489930-gallery-d09112340e.jpg?v=1755719283&amp;width=240",,0)</f>
        <v/>
      </c>
      <c r="C95" s="7" t="inlineStr">
        <is>
          <t>70687</t>
        </is>
      </c>
      <c r="D95" s="7" t="inlineStr">
        <is>
          <t>14K Gold Baguette Beam Lab-Grown Diamond Tennis Chain 70687</t>
        </is>
      </c>
      <c r="E95" s="8" t="inlineStr">
        <is>
          <t>Lab-Grown</t>
        </is>
      </c>
      <c r="F95" s="9" t="n">
        <v>22050</v>
      </c>
      <c r="G95" s="9" t="n">
        <v>22050</v>
      </c>
      <c r="H95" s="7" t="n">
        <v>3</v>
      </c>
      <c r="I95" s="7" t="n">
        <v>0</v>
      </c>
      <c r="J95" s="7" t="inlineStr">
        <is>
          <t>AHMED - TraxNYC CVD</t>
        </is>
      </c>
      <c r="K95" s="7" t="inlineStr">
        <is>
          <t>OK</t>
        </is>
      </c>
      <c r="L95" s="10" t="inlineStr">
        <is>
          <t>View</t>
        </is>
      </c>
    </row>
    <row r="96" ht="80" customHeight="1">
      <c r="A96" s="7" t="n">
        <v>91</v>
      </c>
      <c r="B96" s="7">
        <f>_xlfn.IMAGE("https://cdn.shopify.com/s/files/1/0642/4313/8648/files/70401_image_01_38025265.jpg?v=1755736747&amp;width=240",,0)</f>
        <v/>
      </c>
      <c r="C96" s="7" t="inlineStr">
        <is>
          <t>70401</t>
        </is>
      </c>
      <c r="D96" s="7" t="inlineStr">
        <is>
          <t>14K Gold 80 Pointer Lab-Grown Diamond Tennis Chain 20 Inches 70401</t>
        </is>
      </c>
      <c r="E96" s="8" t="inlineStr">
        <is>
          <t>Lab-Grown</t>
        </is>
      </c>
      <c r="F96" s="9" t="n">
        <v>22250</v>
      </c>
      <c r="G96" s="9" t="n">
        <v>22250</v>
      </c>
      <c r="H96" s="7" t="n">
        <v>3</v>
      </c>
      <c r="I96" s="7" t="n">
        <v>-2</v>
      </c>
      <c r="J96" s="7" t="inlineStr">
        <is>
          <t>AHMED - TraxNYC CVD</t>
        </is>
      </c>
      <c r="K96" s="7" t="inlineStr">
        <is>
          <t>OK</t>
        </is>
      </c>
      <c r="L96" s="10" t="inlineStr">
        <is>
          <t>View</t>
        </is>
      </c>
    </row>
    <row r="97" ht="80" customHeight="1">
      <c r="A97" s="7" t="n">
        <v>92</v>
      </c>
      <c r="B97" s="7">
        <f>_xlfn.IMAGE("https://cdn.shopify.com/s/files/1/0642/4313/8648/files/70338_image_01_4a6317b3.jpg?v=1755736683&amp;width=240",,0)</f>
        <v/>
      </c>
      <c r="C97" s="7" t="inlineStr">
        <is>
          <t>70338</t>
        </is>
      </c>
      <c r="D97" s="7" t="inlineStr">
        <is>
          <t>14K Gold 40 PT Lab-Grown Diamond Tennis Chain 70338</t>
        </is>
      </c>
      <c r="E97" s="8" t="inlineStr">
        <is>
          <t>Lab-Grown</t>
        </is>
      </c>
      <c r="F97" s="9" t="n">
        <v>22450</v>
      </c>
      <c r="G97" s="9" t="n">
        <v>22450</v>
      </c>
      <c r="H97" s="7" t="n">
        <v>3</v>
      </c>
      <c r="I97" s="7" t="n">
        <v>0</v>
      </c>
      <c r="J97" s="7" t="inlineStr">
        <is>
          <t>AHMED - TraxNYC CVD</t>
        </is>
      </c>
      <c r="K97" s="7" t="inlineStr">
        <is>
          <t>OK</t>
        </is>
      </c>
      <c r="L97" s="10" t="inlineStr">
        <is>
          <t>View</t>
        </is>
      </c>
    </row>
    <row r="98" ht="80" customHeight="1">
      <c r="A98" s="7" t="n">
        <v>93</v>
      </c>
      <c r="B98" s="7">
        <f>_xlfn.IMAGE("https://cdn.shopify.com/s/files/1/0642/4313/8648/files/NL-1649_59a107e1-9c7f-468c-982e-d8193d10eca9.jpg?v=1763164496&amp;width=240",,0)</f>
        <v/>
      </c>
      <c r="C98" s="7" t="inlineStr">
        <is>
          <t>70919</t>
        </is>
      </c>
      <c r="D98" s="7" t="inlineStr">
        <is>
          <t>14K Gold 80 Pointer Lab-Grown Diamond Tennis Chain 22 Inches 70919</t>
        </is>
      </c>
      <c r="E98" s="8" t="inlineStr">
        <is>
          <t>Lab-Grown</t>
        </is>
      </c>
      <c r="F98" s="9" t="n">
        <v>23400</v>
      </c>
      <c r="G98" s="9" t="n">
        <v>23400</v>
      </c>
      <c r="H98" s="7" t="n">
        <v>3</v>
      </c>
      <c r="I98" s="7" t="n">
        <v>0</v>
      </c>
      <c r="J98" s="7" t="inlineStr">
        <is>
          <t>AHMED - MOON JEWELRY</t>
        </is>
      </c>
      <c r="K98" s="7" t="inlineStr">
        <is>
          <t>OK</t>
        </is>
      </c>
      <c r="L98" s="10" t="inlineStr">
        <is>
          <t>View</t>
        </is>
      </c>
    </row>
    <row r="99" ht="80" customHeight="1">
      <c r="A99" s="7" t="n">
        <v>94</v>
      </c>
      <c r="B99" s="7">
        <f>_xlfn.IMAGE("https://cdn.shopify.com/s/files/1/0642/4313/8648/files/1_379b2c49-84d2-4e8b-96c8-d60c5868b7c9.jpg?v=1763164370&amp;width=240",,0)</f>
        <v/>
      </c>
      <c r="C99" s="7" t="inlineStr">
        <is>
          <t>70917</t>
        </is>
      </c>
      <c r="D99" s="7" t="inlineStr">
        <is>
          <t>14K Gold 75 Pointer Upside Down Lab-Grown Diamond Tennis Chain 70917</t>
        </is>
      </c>
      <c r="E99" s="8" t="inlineStr">
        <is>
          <t>Lab-Grown</t>
        </is>
      </c>
      <c r="F99" s="9" t="n">
        <v>25000</v>
      </c>
      <c r="G99" s="9" t="n">
        <v>25000</v>
      </c>
      <c r="H99" s="7" t="n">
        <v>3</v>
      </c>
      <c r="I99" s="7" t="n">
        <v>0</v>
      </c>
      <c r="J99" s="7" t="inlineStr">
        <is>
          <t>AHMED - MOON JEWELRY</t>
        </is>
      </c>
      <c r="K99" s="7" t="inlineStr">
        <is>
          <t>OK</t>
        </is>
      </c>
      <c r="L99" s="10" t="inlineStr">
        <is>
          <t>View</t>
        </is>
      </c>
    </row>
    <row r="100" ht="80" customHeight="1">
      <c r="A100" s="7" t="n">
        <v>95</v>
      </c>
      <c r="B100" s="7">
        <f>_xlfn.IMAGE("https://cdn.shopify.com/s/files/1/0642/4313/8648/files/0_9e9f339a-2af6-45ee-b051-d1cab449a0b3.jpg?v=1771454971&amp;width=240",,0)</f>
        <v/>
      </c>
      <c r="C100" s="7" t="inlineStr">
        <is>
          <t>71052</t>
        </is>
      </c>
      <c r="D100" s="7" t="inlineStr">
        <is>
          <t>14K Gold Alternating Upside Down Lab-Grown Diamond Tennis Chain 71052</t>
        </is>
      </c>
      <c r="E100" s="8" t="inlineStr">
        <is>
          <t>Lab-Grown</t>
        </is>
      </c>
      <c r="F100" s="9" t="n">
        <v>25000</v>
      </c>
      <c r="G100" s="9" t="n">
        <v>28000</v>
      </c>
      <c r="H100" s="7" t="n">
        <v>6</v>
      </c>
      <c r="I100" s="7" t="n">
        <v>0</v>
      </c>
      <c r="J100" s="7" t="inlineStr">
        <is>
          <t>DANNY - TraxNYC CVD</t>
        </is>
      </c>
      <c r="K100" s="7" t="inlineStr">
        <is>
          <t>OK</t>
        </is>
      </c>
      <c r="L100" s="10" t="inlineStr">
        <is>
          <t>View</t>
        </is>
      </c>
    </row>
    <row r="101" ht="80" customHeight="1">
      <c r="A101" s="11" t="n">
        <v>96</v>
      </c>
      <c r="B101" s="11">
        <f>_xlfn.IMAGE("https://cdn.shopify.com/s/files/1/0642/4313/8648/files/Diamond-Tennis-Chain-69081-Style-1-gallery-a2853852ce.jpg?v=1755726428&amp;width=240",,0)</f>
        <v/>
      </c>
      <c r="C101" s="11" t="inlineStr">
        <is>
          <t>69081</t>
        </is>
      </c>
      <c r="D101" s="11" t="inlineStr">
        <is>
          <t>14K Gold Diamond Tennis Chain 10pt 69081</t>
        </is>
      </c>
      <c r="E101" s="12" t="inlineStr">
        <is>
          <t>Natural</t>
        </is>
      </c>
      <c r="F101" s="13" t="n">
        <v>25250</v>
      </c>
      <c r="G101" s="13" t="n">
        <v>25250</v>
      </c>
      <c r="H101" s="11" t="n">
        <v>3</v>
      </c>
      <c r="I101" s="11" t="n">
        <v>0</v>
      </c>
      <c r="J101" s="11" t="inlineStr">
        <is>
          <t>AHMED - MOON JEWELRY</t>
        </is>
      </c>
      <c r="K101" s="11" t="inlineStr">
        <is>
          <t>OK</t>
        </is>
      </c>
      <c r="L101" s="14" t="inlineStr">
        <is>
          <t>View</t>
        </is>
      </c>
    </row>
    <row r="102" ht="80" customHeight="1">
      <c r="A102" s="7" t="n">
        <v>97</v>
      </c>
      <c r="B102" s="7">
        <f>_xlfn.IMAGE("https://cdn.shopify.com/s/files/1/0642/4313/8648/files/20-PT-CVD-Diamond-Tennis-Chain-67893-Diamond-1-gallery-66158e5036.jpg?v=1755736519&amp;width=240",,0)</f>
        <v/>
      </c>
      <c r="C102" s="7" t="inlineStr">
        <is>
          <t>67893</t>
        </is>
      </c>
      <c r="D102" s="7" t="inlineStr">
        <is>
          <t>14K Gold 35 PT Lab-Grown Diamond Tennis Chain 67893</t>
        </is>
      </c>
      <c r="E102" s="8" t="inlineStr">
        <is>
          <t>Lab-Grown</t>
        </is>
      </c>
      <c r="F102" s="9" t="n">
        <v>27200</v>
      </c>
      <c r="G102" s="9" t="n">
        <v>27200</v>
      </c>
      <c r="H102" s="7" t="n">
        <v>3</v>
      </c>
      <c r="I102" s="7" t="n">
        <v>0</v>
      </c>
      <c r="J102" s="7" t="inlineStr">
        <is>
          <t>AHMED - TraxNYC CVD</t>
        </is>
      </c>
      <c r="K102" s="7" t="inlineStr">
        <is>
          <t>OK</t>
        </is>
      </c>
      <c r="L102" s="10" t="inlineStr">
        <is>
          <t>View</t>
        </is>
      </c>
    </row>
    <row r="103" ht="80" customHeight="1">
      <c r="A103" s="11" t="n">
        <v>98</v>
      </c>
      <c r="B103" s="11">
        <f>_xlfn.IMAGE("https://cdn.shopify.com/s/files/1/0642/4313/8648/files/Parcel-Diamond-Tennis-Chain-67172-Diamond-1-gallery-0944a31891.jpg?v=1755725696&amp;width=240",,0)</f>
        <v/>
      </c>
      <c r="C103" s="11" t="inlineStr">
        <is>
          <t>67172</t>
        </is>
      </c>
      <c r="D103" s="11" t="inlineStr">
        <is>
          <t>14K Gold Parcel Diamond Tennis Chain 67172</t>
        </is>
      </c>
      <c r="E103" s="12" t="inlineStr">
        <is>
          <t>Natural</t>
        </is>
      </c>
      <c r="F103" s="13" t="n">
        <v>27850</v>
      </c>
      <c r="G103" s="13" t="n">
        <v>27850</v>
      </c>
      <c r="H103" s="11" t="n">
        <v>3</v>
      </c>
      <c r="I103" s="11" t="n">
        <v>0</v>
      </c>
      <c r="J103" s="11" t="inlineStr">
        <is>
          <t>AHMED - MOON JEWELRY</t>
        </is>
      </c>
      <c r="K103" s="11" t="inlineStr">
        <is>
          <t>OK</t>
        </is>
      </c>
      <c r="L103" s="14" t="inlineStr">
        <is>
          <t>View</t>
        </is>
      </c>
    </row>
    <row r="104" ht="80" customHeight="1">
      <c r="A104" s="11" t="n">
        <v>99</v>
      </c>
      <c r="B104" s="11">
        <f>_xlfn.IMAGE("https://cdn.shopify.com/s/files/1/0642/4313/8648/files/10-Pointer-Parcel-Diamond-Tennis-Chain-67098-Diamond-1-gallery-3b493e1695.jpg?v=1755725653&amp;width=240",,0)</f>
        <v/>
      </c>
      <c r="C104" s="11" t="inlineStr">
        <is>
          <t>67098</t>
        </is>
      </c>
      <c r="D104" s="11" t="inlineStr">
        <is>
          <t>14K Gold 10 Pointer Parcel Diamond Tennis Chain 67098</t>
        </is>
      </c>
      <c r="E104" s="12" t="inlineStr">
        <is>
          <t>Natural</t>
        </is>
      </c>
      <c r="F104" s="13" t="n">
        <v>29250</v>
      </c>
      <c r="G104" s="13" t="n">
        <v>29250</v>
      </c>
      <c r="H104" s="11" t="n">
        <v>3</v>
      </c>
      <c r="I104" s="11" t="n">
        <v>1</v>
      </c>
      <c r="J104" s="11" t="inlineStr">
        <is>
          <t>AHMED - MOON JEWELRY</t>
        </is>
      </c>
      <c r="K104" s="11" t="inlineStr">
        <is>
          <t>OK</t>
        </is>
      </c>
      <c r="L104" s="14" t="inlineStr">
        <is>
          <t>View</t>
        </is>
      </c>
    </row>
    <row r="105" ht="80" customHeight="1">
      <c r="A105" s="7" t="n">
        <v>100</v>
      </c>
      <c r="B105" s="7">
        <f>_xlfn.IMAGE("https://cdn.shopify.com/s/files/1/0642/4313/8648/files/70453_image_01_d0f5c0e4.jpg?v=1755736814&amp;width=240",,0)</f>
        <v/>
      </c>
      <c r="C105" s="7" t="inlineStr">
        <is>
          <t>70453</t>
        </is>
      </c>
      <c r="D105" s="7" t="inlineStr">
        <is>
          <t>Emerald Cut Platinum Lab-Grown Diamond Tennis Chain 70453</t>
        </is>
      </c>
      <c r="E105" s="8" t="inlineStr">
        <is>
          <t>Lab-Grown</t>
        </is>
      </c>
      <c r="F105" s="9" t="n">
        <v>32150</v>
      </c>
      <c r="G105" s="9" t="n">
        <v>32150</v>
      </c>
      <c r="H105" s="7" t="n">
        <v>1</v>
      </c>
      <c r="I105" s="7" t="n">
        <v>0</v>
      </c>
      <c r="J105" s="7" t="inlineStr">
        <is>
          <t>AHMED - TraxNYC CVD</t>
        </is>
      </c>
      <c r="K105" s="7" t="inlineStr">
        <is>
          <t>OK</t>
        </is>
      </c>
      <c r="L105" s="10" t="inlineStr">
        <is>
          <t>View</t>
        </is>
      </c>
    </row>
    <row r="106" ht="80" customHeight="1">
      <c r="A106" s="11" t="n">
        <v>101</v>
      </c>
      <c r="B106" s="11">
        <f>_xlfn.IMAGE("https://cdn.shopify.com/s/files/1/0642/4313/8648/files/TraxNYC-Signature-15-Pointers-14K-White-Gold-Diamond-Tennis-Chain-66597-Diamond-1-gallery-2ad3e81181.jpg?v=1755725497&amp;width=240",,0)</f>
        <v/>
      </c>
      <c r="C106" s="11" t="inlineStr">
        <is>
          <t>66597</t>
        </is>
      </c>
      <c r="D106" s="11" t="inlineStr">
        <is>
          <t>TraxNYC 14K White Gold Diamond Tennis Chain 66597</t>
        </is>
      </c>
      <c r="E106" s="12" t="inlineStr">
        <is>
          <t>Natural</t>
        </is>
      </c>
      <c r="F106" s="13" t="n">
        <v>37300</v>
      </c>
      <c r="G106" s="13" t="n">
        <v>37300</v>
      </c>
      <c r="H106" s="11" t="n">
        <v>1</v>
      </c>
      <c r="I106" s="11" t="n">
        <v>0</v>
      </c>
      <c r="J106" s="11" t="inlineStr">
        <is>
          <t>AHMED - MOON JEWELRY</t>
        </is>
      </c>
      <c r="K106" s="11" t="inlineStr">
        <is>
          <t>OK</t>
        </is>
      </c>
      <c r="L106" s="14" t="inlineStr">
        <is>
          <t>View</t>
        </is>
      </c>
    </row>
    <row r="107" ht="80" customHeight="1">
      <c r="A107" s="11" t="n">
        <v>102</v>
      </c>
      <c r="B107" s="11">
        <f>_xlfn.IMAGE("https://cdn.shopify.com/s/files/1/0642/4313/8648/files/Diamond-Tennis-Chain-69079-Style-1-gallery-57b302a282.jpg?v=1755726425&amp;width=240",,0)</f>
        <v/>
      </c>
      <c r="C107" s="11" t="inlineStr">
        <is>
          <t>69079</t>
        </is>
      </c>
      <c r="D107" s="11" t="inlineStr">
        <is>
          <t>14K Gold 15 Pointer Diamond Tennis Chain 69079</t>
        </is>
      </c>
      <c r="E107" s="12" t="inlineStr">
        <is>
          <t>Natural</t>
        </is>
      </c>
      <c r="F107" s="13" t="n">
        <v>37900</v>
      </c>
      <c r="G107" s="13" t="n">
        <v>37900</v>
      </c>
      <c r="H107" s="11" t="n">
        <v>3</v>
      </c>
      <c r="I107" s="11" t="n">
        <v>0</v>
      </c>
      <c r="J107" s="11" t="inlineStr">
        <is>
          <t>AHMED - MOON JEWELRY</t>
        </is>
      </c>
      <c r="K107" s="11" t="inlineStr">
        <is>
          <t>OK</t>
        </is>
      </c>
      <c r="L107" s="14" t="inlineStr">
        <is>
          <t>View</t>
        </is>
      </c>
    </row>
    <row r="108" ht="80" customHeight="1">
      <c r="A108" s="11" t="n">
        <v>103</v>
      </c>
      <c r="B108" s="11">
        <f>_xlfn.IMAGE("https://cdn.shopify.com/s/files/1/0642/4313/8648/files/15-Pointer-Parcel-Diamond-Tennis-Chain--67259-Diamond-1-gallery-58550aec1d.jpg?v=1755725708&amp;width=240",,0)</f>
        <v/>
      </c>
      <c r="C108" s="11" t="inlineStr">
        <is>
          <t>67259</t>
        </is>
      </c>
      <c r="D108" s="11" t="inlineStr">
        <is>
          <t>14K Gold 15 Pointer Parcel Diamond Tennis Chain 67259</t>
        </is>
      </c>
      <c r="E108" s="12" t="inlineStr">
        <is>
          <t>Natural</t>
        </is>
      </c>
      <c r="F108" s="13" t="n">
        <v>39300</v>
      </c>
      <c r="G108" s="13" t="n">
        <v>39300</v>
      </c>
      <c r="H108" s="11" t="n">
        <v>3</v>
      </c>
      <c r="I108" s="11" t="n">
        <v>0</v>
      </c>
      <c r="J108" s="11" t="inlineStr">
        <is>
          <t>AHMED - MOON JEWELRY</t>
        </is>
      </c>
      <c r="K108" s="11" t="inlineStr">
        <is>
          <t>OK</t>
        </is>
      </c>
      <c r="L108" s="14" t="inlineStr">
        <is>
          <t>View</t>
        </is>
      </c>
    </row>
    <row r="109" ht="80" customHeight="1">
      <c r="A109" s="11" t="n">
        <v>104</v>
      </c>
      <c r="B109" s="11">
        <f>_xlfn.IMAGE("https://cdn.shopify.com/s/files/1/0642/4313/8648/files/17-Pointer-Parcel-Diamond-Tennis-Chain-67258-Diamond-1-gallery-58550aec1d.jpg?v=1755725705&amp;width=240",,0)</f>
        <v/>
      </c>
      <c r="C109" s="11" t="inlineStr">
        <is>
          <t>67258</t>
        </is>
      </c>
      <c r="D109" s="11" t="inlineStr">
        <is>
          <t>14K Gold Parcel Diamond Tennis Chain 67258</t>
        </is>
      </c>
      <c r="E109" s="12" t="inlineStr">
        <is>
          <t>Natural</t>
        </is>
      </c>
      <c r="F109" s="13" t="n">
        <v>41750</v>
      </c>
      <c r="G109" s="13" t="n">
        <v>41750</v>
      </c>
      <c r="H109" s="11" t="n">
        <v>3</v>
      </c>
      <c r="I109" s="11" t="n">
        <v>0</v>
      </c>
      <c r="J109" s="11" t="inlineStr">
        <is>
          <t>AHMED - MOON JEWELRY</t>
        </is>
      </c>
      <c r="K109" s="11" t="inlineStr">
        <is>
          <t>OK</t>
        </is>
      </c>
      <c r="L109" s="14" t="inlineStr">
        <is>
          <t>View</t>
        </is>
      </c>
    </row>
    <row r="110" ht="80" customHeight="1">
      <c r="A110" s="11" t="n">
        <v>105</v>
      </c>
      <c r="B110" s="11">
        <f>_xlfn.IMAGE("https://cdn.shopify.com/s/files/1/0642/4313/8648/files/TraxNYC-Signature-15-Pointers-14K-White-Gold-Diamond-Tennis-Chain-66006-Diamond-1-gallery-51bc0eaf9f.jpg?v=1755725191&amp;width=240",,0)</f>
        <v/>
      </c>
      <c r="C110" s="11" t="inlineStr">
        <is>
          <t>66006</t>
        </is>
      </c>
      <c r="D110" s="11" t="inlineStr">
        <is>
          <t>TraxNYC Signature 14K White Gold Diamond Tennis Chain 66006</t>
        </is>
      </c>
      <c r="E110" s="12" t="inlineStr">
        <is>
          <t>Natural</t>
        </is>
      </c>
      <c r="F110" s="13" t="n">
        <v>42050</v>
      </c>
      <c r="G110" s="13" t="n">
        <v>42050</v>
      </c>
      <c r="H110" s="11" t="n">
        <v>1</v>
      </c>
      <c r="I110" s="11" t="n">
        <v>0</v>
      </c>
      <c r="J110" s="11" t="inlineStr">
        <is>
          <t>AHMED - MOON JEWELRY</t>
        </is>
      </c>
      <c r="K110" s="11" t="inlineStr">
        <is>
          <t>OK</t>
        </is>
      </c>
      <c r="L110" s="14" t="inlineStr">
        <is>
          <t>View</t>
        </is>
      </c>
    </row>
    <row r="111" ht="80" customHeight="1">
      <c r="A111" s="11" t="n">
        <v>106</v>
      </c>
      <c r="B111" s="11">
        <f>_xlfn.IMAGE("https://cdn.shopify.com/s/files/1/0642/4313/8648/files/TraxNYC-Signature-15-Pointers-14K-Yellow-Gold-Diamond-Tennis-Chain-66007-Diamond-1-gallery-33e714602e.jpg?v=1755725193&amp;width=240",,0)</f>
        <v/>
      </c>
      <c r="C111" s="11" t="inlineStr">
        <is>
          <t>66007</t>
        </is>
      </c>
      <c r="D111" s="11" t="inlineStr">
        <is>
          <t>TraxNYC 14K Yellow Gold Diamond Tennis Chain 66007</t>
        </is>
      </c>
      <c r="E111" s="12" t="inlineStr">
        <is>
          <t>Natural</t>
        </is>
      </c>
      <c r="F111" s="13" t="n">
        <v>46850</v>
      </c>
      <c r="G111" s="13" t="n">
        <v>46850</v>
      </c>
      <c r="H111" s="11" t="n">
        <v>1</v>
      </c>
      <c r="I111" s="11" t="n">
        <v>0</v>
      </c>
      <c r="J111" s="11" t="inlineStr">
        <is>
          <t>AHMED - MOON JEWELRY</t>
        </is>
      </c>
      <c r="K111" s="11" t="inlineStr">
        <is>
          <t>OK</t>
        </is>
      </c>
      <c r="L111" s="14" t="inlineStr">
        <is>
          <t>View</t>
        </is>
      </c>
    </row>
    <row r="112" ht="80" customHeight="1">
      <c r="A112" s="11" t="n">
        <v>107</v>
      </c>
      <c r="B112" s="11">
        <f>_xlfn.IMAGE("https://cdn.shopify.com/s/files/1/0642/4313/8648/files/15-Pointers-14K-Yellow-Gold-Diamond-Tennis-Chain-66684-Diamond-1-gallery-6036dc343e.jpg?v=1755725569&amp;width=240",,0)</f>
        <v/>
      </c>
      <c r="C112" s="11" t="inlineStr">
        <is>
          <t>66684</t>
        </is>
      </c>
      <c r="D112" s="11" t="inlineStr">
        <is>
          <t>14K Yellow Gold Diamond Tennis Chain 66684</t>
        </is>
      </c>
      <c r="E112" s="12" t="inlineStr">
        <is>
          <t>Natural</t>
        </is>
      </c>
      <c r="F112" s="13" t="n">
        <v>47700</v>
      </c>
      <c r="G112" s="13" t="n">
        <v>47700</v>
      </c>
      <c r="H112" s="11" t="n">
        <v>3</v>
      </c>
      <c r="I112" s="11" t="n">
        <v>0</v>
      </c>
      <c r="J112" s="11" t="inlineStr">
        <is>
          <t>RINA - TraxNYC FACTORY</t>
        </is>
      </c>
      <c r="K112" s="11" t="inlineStr">
        <is>
          <t>OK</t>
        </is>
      </c>
      <c r="L112" s="14" t="inlineStr">
        <is>
          <t>View</t>
        </is>
      </c>
    </row>
    <row r="113" ht="80" customHeight="1">
      <c r="A113" s="11" t="n">
        <v>108</v>
      </c>
      <c r="B113" s="11">
        <f>_xlfn.IMAGE("https://cdn.shopify.com/s/files/1/0642/4313/8648/files/26-Pointer-Diamond-Tennis-Chain-53.70-Gr-18-Inches-4mm-66818-Diamond-1-gallery-2dd1af08d2.jpg?v=1755725586&amp;width=240",,0)</f>
        <v/>
      </c>
      <c r="C113" s="11" t="inlineStr">
        <is>
          <t>66818</t>
        </is>
      </c>
      <c r="D113" s="11" t="inlineStr">
        <is>
          <t>14K Gold 26 Pointer Diamond Tennis Chain 53.70 Gr 18 Inches 4mm 66818</t>
        </is>
      </c>
      <c r="E113" s="12" t="inlineStr">
        <is>
          <t>Natural</t>
        </is>
      </c>
      <c r="F113" s="13" t="n">
        <v>58700</v>
      </c>
      <c r="G113" s="13" t="n">
        <v>58700</v>
      </c>
      <c r="H113" s="11" t="n">
        <v>3</v>
      </c>
      <c r="I113" s="11" t="n">
        <v>0</v>
      </c>
      <c r="J113" s="11" t="inlineStr">
        <is>
          <t>RINA - TraxNYC FACTORY</t>
        </is>
      </c>
      <c r="K113" s="11" t="inlineStr">
        <is>
          <t>OK</t>
        </is>
      </c>
      <c r="L113" s="14" t="inlineStr">
        <is>
          <t>View</t>
        </is>
      </c>
    </row>
    <row r="114" ht="80" customHeight="1">
      <c r="A114" s="11" t="n">
        <v>109</v>
      </c>
      <c r="B114" s="11">
        <f>_xlfn.IMAGE("https://cdn.shopify.com/s/files/1/0642/4313/8648/files/26-Pointer-Diamond-Tennis-Chain-57.90-Gr-19.5-Inches-4mm-66817-Diamond-1-gallery-65f2b7e31a.jpg?v=1755725584&amp;width=240",,0)</f>
        <v/>
      </c>
      <c r="C114" s="11" t="inlineStr">
        <is>
          <t>66817</t>
        </is>
      </c>
      <c r="D114" s="11" t="inlineStr">
        <is>
          <t>14K Gold 26 Pointer Diamond Tennis Chain 19.5 Inches 4mm 66817</t>
        </is>
      </c>
      <c r="E114" s="12" t="inlineStr">
        <is>
          <t>Natural</t>
        </is>
      </c>
      <c r="F114" s="13" t="n">
        <v>69800</v>
      </c>
      <c r="G114" s="13" t="n">
        <v>69800</v>
      </c>
      <c r="H114" s="11" t="n">
        <v>3</v>
      </c>
      <c r="I114" s="11" t="n">
        <v>0</v>
      </c>
      <c r="J114" s="11" t="inlineStr">
        <is>
          <t>RINA - TraxNYC FACTORY</t>
        </is>
      </c>
      <c r="K114" s="11" t="inlineStr">
        <is>
          <t>OK</t>
        </is>
      </c>
      <c r="L114" s="14" t="inlineStr">
        <is>
          <t>View</t>
        </is>
      </c>
    </row>
    <row r="116">
      <c r="C116" s="16" t="inlineStr">
        <is>
          <t>Summary</t>
        </is>
      </c>
    </row>
    <row r="117">
      <c r="C117" s="17" t="inlineStr">
        <is>
          <t>Total active chains</t>
        </is>
      </c>
      <c r="D117" s="18">
        <f>COUNTA(D6:D114)</f>
        <v/>
      </c>
    </row>
    <row r="118">
      <c r="C118" s="17" t="inlineStr">
        <is>
          <t>Natural diamond</t>
        </is>
      </c>
      <c r="D118" s="18">
        <f>COUNTIF(E6:E114,"Natural")</f>
        <v/>
      </c>
    </row>
    <row r="119">
      <c r="C119" s="17" t="inlineStr">
        <is>
          <t>Lab-grown diamond</t>
        </is>
      </c>
      <c r="D119" s="18">
        <f>COUNTIF(E6:E114,"Lab-Grown")</f>
        <v/>
      </c>
    </row>
    <row r="120">
      <c r="C120" s="17" t="inlineStr">
        <is>
          <t>Lowest starting price</t>
        </is>
      </c>
      <c r="D120" s="19">
        <f>MIN(F6:F114)</f>
        <v/>
      </c>
    </row>
    <row r="121">
      <c r="C121" s="17" t="inlineStr">
        <is>
          <t>Highest starting price</t>
        </is>
      </c>
      <c r="D121" s="19">
        <f>MAX(F6:F114)</f>
        <v/>
      </c>
    </row>
    <row r="122">
      <c r="C122" s="17" t="inlineStr">
        <is>
          <t>Average starting price</t>
        </is>
      </c>
      <c r="D122" s="19">
        <f>AVERAGE(F6:F114)</f>
        <v/>
      </c>
    </row>
    <row r="123">
      <c r="C123" s="17" t="inlineStr">
        <is>
          <t>Titles to fix</t>
        </is>
      </c>
      <c r="D123" s="18">
        <f>COUNTIF(K6:K114,"Fix title")</f>
        <v/>
      </c>
    </row>
  </sheetData>
  <autoFilter ref="A5:L114"/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7" r:id="rId22"/>
    <hyperlink xmlns:r="http://schemas.openxmlformats.org/officeDocument/2006/relationships" ref="L28" r:id="rId23"/>
    <hyperlink xmlns:r="http://schemas.openxmlformats.org/officeDocument/2006/relationships" ref="L29" r:id="rId24"/>
    <hyperlink xmlns:r="http://schemas.openxmlformats.org/officeDocument/2006/relationships" ref="L30" r:id="rId25"/>
    <hyperlink xmlns:r="http://schemas.openxmlformats.org/officeDocument/2006/relationships" ref="L31" r:id="rId26"/>
    <hyperlink xmlns:r="http://schemas.openxmlformats.org/officeDocument/2006/relationships" ref="L32" r:id="rId27"/>
    <hyperlink xmlns:r="http://schemas.openxmlformats.org/officeDocument/2006/relationships" ref="L33" r:id="rId28"/>
    <hyperlink xmlns:r="http://schemas.openxmlformats.org/officeDocument/2006/relationships" ref="L34" r:id="rId29"/>
    <hyperlink xmlns:r="http://schemas.openxmlformats.org/officeDocument/2006/relationships" ref="L35" r:id="rId30"/>
    <hyperlink xmlns:r="http://schemas.openxmlformats.org/officeDocument/2006/relationships" ref="L36" r:id="rId31"/>
    <hyperlink xmlns:r="http://schemas.openxmlformats.org/officeDocument/2006/relationships" ref="L37" r:id="rId32"/>
    <hyperlink xmlns:r="http://schemas.openxmlformats.org/officeDocument/2006/relationships" ref="L38" r:id="rId33"/>
    <hyperlink xmlns:r="http://schemas.openxmlformats.org/officeDocument/2006/relationships" ref="L39" r:id="rId34"/>
    <hyperlink xmlns:r="http://schemas.openxmlformats.org/officeDocument/2006/relationships" ref="L40" r:id="rId35"/>
    <hyperlink xmlns:r="http://schemas.openxmlformats.org/officeDocument/2006/relationships" ref="L41" r:id="rId36"/>
    <hyperlink xmlns:r="http://schemas.openxmlformats.org/officeDocument/2006/relationships" ref="L42" r:id="rId37"/>
    <hyperlink xmlns:r="http://schemas.openxmlformats.org/officeDocument/2006/relationships" ref="L43" r:id="rId38"/>
    <hyperlink xmlns:r="http://schemas.openxmlformats.org/officeDocument/2006/relationships" ref="L44" r:id="rId39"/>
    <hyperlink xmlns:r="http://schemas.openxmlformats.org/officeDocument/2006/relationships" ref="L45" r:id="rId40"/>
    <hyperlink xmlns:r="http://schemas.openxmlformats.org/officeDocument/2006/relationships" ref="L46" r:id="rId41"/>
    <hyperlink xmlns:r="http://schemas.openxmlformats.org/officeDocument/2006/relationships" ref="L47" r:id="rId42"/>
    <hyperlink xmlns:r="http://schemas.openxmlformats.org/officeDocument/2006/relationships" ref="L48" r:id="rId43"/>
    <hyperlink xmlns:r="http://schemas.openxmlformats.org/officeDocument/2006/relationships" ref="L49" r:id="rId44"/>
    <hyperlink xmlns:r="http://schemas.openxmlformats.org/officeDocument/2006/relationships" ref="L50" r:id="rId45"/>
    <hyperlink xmlns:r="http://schemas.openxmlformats.org/officeDocument/2006/relationships" ref="L51" r:id="rId46"/>
    <hyperlink xmlns:r="http://schemas.openxmlformats.org/officeDocument/2006/relationships" ref="L52" r:id="rId47"/>
    <hyperlink xmlns:r="http://schemas.openxmlformats.org/officeDocument/2006/relationships" ref="L53" r:id="rId48"/>
    <hyperlink xmlns:r="http://schemas.openxmlformats.org/officeDocument/2006/relationships" ref="L54" r:id="rId49"/>
    <hyperlink xmlns:r="http://schemas.openxmlformats.org/officeDocument/2006/relationships" ref="L55" r:id="rId50"/>
    <hyperlink xmlns:r="http://schemas.openxmlformats.org/officeDocument/2006/relationships" ref="L56" r:id="rId51"/>
    <hyperlink xmlns:r="http://schemas.openxmlformats.org/officeDocument/2006/relationships" ref="L57" r:id="rId52"/>
    <hyperlink xmlns:r="http://schemas.openxmlformats.org/officeDocument/2006/relationships" ref="L58" r:id="rId53"/>
    <hyperlink xmlns:r="http://schemas.openxmlformats.org/officeDocument/2006/relationships" ref="L59" r:id="rId54"/>
    <hyperlink xmlns:r="http://schemas.openxmlformats.org/officeDocument/2006/relationships" ref="L60" r:id="rId55"/>
    <hyperlink xmlns:r="http://schemas.openxmlformats.org/officeDocument/2006/relationships" ref="L61" r:id="rId56"/>
    <hyperlink xmlns:r="http://schemas.openxmlformats.org/officeDocument/2006/relationships" ref="L62" r:id="rId57"/>
    <hyperlink xmlns:r="http://schemas.openxmlformats.org/officeDocument/2006/relationships" ref="L63" r:id="rId58"/>
    <hyperlink xmlns:r="http://schemas.openxmlformats.org/officeDocument/2006/relationships" ref="L64" r:id="rId59"/>
    <hyperlink xmlns:r="http://schemas.openxmlformats.org/officeDocument/2006/relationships" ref="L65" r:id="rId60"/>
    <hyperlink xmlns:r="http://schemas.openxmlformats.org/officeDocument/2006/relationships" ref="L66" r:id="rId61"/>
    <hyperlink xmlns:r="http://schemas.openxmlformats.org/officeDocument/2006/relationships" ref="L67" r:id="rId62"/>
    <hyperlink xmlns:r="http://schemas.openxmlformats.org/officeDocument/2006/relationships" ref="L68" r:id="rId63"/>
    <hyperlink xmlns:r="http://schemas.openxmlformats.org/officeDocument/2006/relationships" ref="L69" r:id="rId64"/>
    <hyperlink xmlns:r="http://schemas.openxmlformats.org/officeDocument/2006/relationships" ref="L70" r:id="rId65"/>
    <hyperlink xmlns:r="http://schemas.openxmlformats.org/officeDocument/2006/relationships" ref="L71" r:id="rId66"/>
    <hyperlink xmlns:r="http://schemas.openxmlformats.org/officeDocument/2006/relationships" ref="L72" r:id="rId67"/>
    <hyperlink xmlns:r="http://schemas.openxmlformats.org/officeDocument/2006/relationships" ref="L73" r:id="rId68"/>
    <hyperlink xmlns:r="http://schemas.openxmlformats.org/officeDocument/2006/relationships" ref="L74" r:id="rId69"/>
    <hyperlink xmlns:r="http://schemas.openxmlformats.org/officeDocument/2006/relationships" ref="L75" r:id="rId70"/>
    <hyperlink xmlns:r="http://schemas.openxmlformats.org/officeDocument/2006/relationships" ref="L76" r:id="rId71"/>
    <hyperlink xmlns:r="http://schemas.openxmlformats.org/officeDocument/2006/relationships" ref="L77" r:id="rId72"/>
    <hyperlink xmlns:r="http://schemas.openxmlformats.org/officeDocument/2006/relationships" ref="L78" r:id="rId73"/>
    <hyperlink xmlns:r="http://schemas.openxmlformats.org/officeDocument/2006/relationships" ref="L79" r:id="rId74"/>
    <hyperlink xmlns:r="http://schemas.openxmlformats.org/officeDocument/2006/relationships" ref="L80" r:id="rId75"/>
    <hyperlink xmlns:r="http://schemas.openxmlformats.org/officeDocument/2006/relationships" ref="L81" r:id="rId76"/>
    <hyperlink xmlns:r="http://schemas.openxmlformats.org/officeDocument/2006/relationships" ref="L82" r:id="rId77"/>
    <hyperlink xmlns:r="http://schemas.openxmlformats.org/officeDocument/2006/relationships" ref="L83" r:id="rId78"/>
    <hyperlink xmlns:r="http://schemas.openxmlformats.org/officeDocument/2006/relationships" ref="L84" r:id="rId79"/>
    <hyperlink xmlns:r="http://schemas.openxmlformats.org/officeDocument/2006/relationships" ref="L85" r:id="rId80"/>
    <hyperlink xmlns:r="http://schemas.openxmlformats.org/officeDocument/2006/relationships" ref="L86" r:id="rId81"/>
    <hyperlink xmlns:r="http://schemas.openxmlformats.org/officeDocument/2006/relationships" ref="L87" r:id="rId82"/>
    <hyperlink xmlns:r="http://schemas.openxmlformats.org/officeDocument/2006/relationships" ref="L88" r:id="rId83"/>
    <hyperlink xmlns:r="http://schemas.openxmlformats.org/officeDocument/2006/relationships" ref="L89" r:id="rId84"/>
    <hyperlink xmlns:r="http://schemas.openxmlformats.org/officeDocument/2006/relationships" ref="L90" r:id="rId85"/>
    <hyperlink xmlns:r="http://schemas.openxmlformats.org/officeDocument/2006/relationships" ref="L91" r:id="rId86"/>
    <hyperlink xmlns:r="http://schemas.openxmlformats.org/officeDocument/2006/relationships" ref="L92" r:id="rId87"/>
    <hyperlink xmlns:r="http://schemas.openxmlformats.org/officeDocument/2006/relationships" ref="L93" r:id="rId88"/>
    <hyperlink xmlns:r="http://schemas.openxmlformats.org/officeDocument/2006/relationships" ref="L94" r:id="rId89"/>
    <hyperlink xmlns:r="http://schemas.openxmlformats.org/officeDocument/2006/relationships" ref="L95" r:id="rId90"/>
    <hyperlink xmlns:r="http://schemas.openxmlformats.org/officeDocument/2006/relationships" ref="L96" r:id="rId91"/>
    <hyperlink xmlns:r="http://schemas.openxmlformats.org/officeDocument/2006/relationships" ref="L97" r:id="rId92"/>
    <hyperlink xmlns:r="http://schemas.openxmlformats.org/officeDocument/2006/relationships" ref="L98" r:id="rId93"/>
    <hyperlink xmlns:r="http://schemas.openxmlformats.org/officeDocument/2006/relationships" ref="L99" r:id="rId94"/>
    <hyperlink xmlns:r="http://schemas.openxmlformats.org/officeDocument/2006/relationships" ref="L100" r:id="rId95"/>
    <hyperlink xmlns:r="http://schemas.openxmlformats.org/officeDocument/2006/relationships" ref="L101" r:id="rId96"/>
    <hyperlink xmlns:r="http://schemas.openxmlformats.org/officeDocument/2006/relationships" ref="L102" r:id="rId97"/>
    <hyperlink xmlns:r="http://schemas.openxmlformats.org/officeDocument/2006/relationships" ref="L103" r:id="rId98"/>
    <hyperlink xmlns:r="http://schemas.openxmlformats.org/officeDocument/2006/relationships" ref="L104" r:id="rId99"/>
    <hyperlink xmlns:r="http://schemas.openxmlformats.org/officeDocument/2006/relationships" ref="L105" r:id="rId100"/>
    <hyperlink xmlns:r="http://schemas.openxmlformats.org/officeDocument/2006/relationships" ref="L106" r:id="rId101"/>
    <hyperlink xmlns:r="http://schemas.openxmlformats.org/officeDocument/2006/relationships" ref="L107" r:id="rId102"/>
    <hyperlink xmlns:r="http://schemas.openxmlformats.org/officeDocument/2006/relationships" ref="L108" r:id="rId103"/>
    <hyperlink xmlns:r="http://schemas.openxmlformats.org/officeDocument/2006/relationships" ref="L109" r:id="rId104"/>
    <hyperlink xmlns:r="http://schemas.openxmlformats.org/officeDocument/2006/relationships" ref="L110" r:id="rId105"/>
    <hyperlink xmlns:r="http://schemas.openxmlformats.org/officeDocument/2006/relationships" ref="L111" r:id="rId106"/>
    <hyperlink xmlns:r="http://schemas.openxmlformats.org/officeDocument/2006/relationships" ref="L112" r:id="rId107"/>
    <hyperlink xmlns:r="http://schemas.openxmlformats.org/officeDocument/2006/relationships" ref="L113" r:id="rId108"/>
    <hyperlink xmlns:r="http://schemas.openxmlformats.org/officeDocument/2006/relationships" ref="L114" r:id="rId1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38" customWidth="1" min="3" max="3"/>
    <col width="20" customWidth="1" min="4" max="4"/>
  </cols>
  <sheetData>
    <row r="1">
      <c r="A1" s="20" t="inlineStr">
        <is>
          <t>Diamond tennis chains NOT showing in the collection (wrong tags)</t>
        </is>
      </c>
    </row>
    <row r="3">
      <c r="A3" s="21" t="inlineStr">
        <is>
          <t>Item #</t>
        </is>
      </c>
      <c r="B3" s="21" t="inlineStr">
        <is>
          <t>Product Name</t>
        </is>
      </c>
      <c r="C3" s="21" t="inlineStr">
        <is>
          <t>Problem</t>
        </is>
      </c>
      <c r="D3" s="21" t="inlineStr">
        <is>
          <t>Fix</t>
        </is>
      </c>
    </row>
    <row r="4">
      <c r="A4" s="22" t="inlineStr">
        <is>
          <t>71712</t>
        </is>
      </c>
      <c r="B4" s="22" t="inlineStr">
        <is>
          <t>20 Pt Lab-Grown Diamond Tennis Chain 71712</t>
        </is>
      </c>
      <c r="C4" s="22" t="inlineStr">
        <is>
          <t>Tagged "Bracelets" instead of "Chains"</t>
        </is>
      </c>
      <c r="D4" s="22" t="inlineStr">
        <is>
          <t>Add "Chains" tag</t>
        </is>
      </c>
    </row>
    <row r="5">
      <c r="A5" s="22" t="inlineStr">
        <is>
          <t>71098</t>
        </is>
      </c>
      <c r="B5" s="22" t="inlineStr">
        <is>
          <t>Multi Shape Lab-Grown Diamond Tennis Chain 71098</t>
        </is>
      </c>
      <c r="C5" s="22" t="inlineStr">
        <is>
          <t>Missing "Chains" tag</t>
        </is>
      </c>
      <c r="D5" s="22" t="inlineStr">
        <is>
          <t>Add "Chains" tag</t>
        </is>
      </c>
    </row>
    <row r="6">
      <c r="A6" s="22" t="inlineStr">
        <is>
          <t>71101</t>
        </is>
      </c>
      <c r="B6" s="22" t="inlineStr">
        <is>
          <t>Multi Shape Lab-Grown Diamond Tennis Chain 71101</t>
        </is>
      </c>
      <c r="C6" s="22" t="inlineStr">
        <is>
          <t>Missing "Chains" tag</t>
        </is>
      </c>
      <c r="D6" s="22" t="inlineStr">
        <is>
          <t>Add "Chains" tag</t>
        </is>
      </c>
    </row>
    <row r="7">
      <c r="A7" s="23" t="inlineStr">
        <is>
          <t>67115</t>
        </is>
      </c>
      <c r="B7" s="23" t="inlineStr">
        <is>
          <t>Graduated Diamond Tennis Necklace 67115</t>
        </is>
      </c>
      <c r="C7" s="23" t="inlineStr">
        <is>
          <t>Missing "Chains" tag</t>
        </is>
      </c>
      <c r="D7" s="23" t="inlineStr">
        <is>
          <t>Add "Chains" tag</t>
        </is>
      </c>
    </row>
    <row r="8">
      <c r="A8" s="22" t="inlineStr">
        <is>
          <t>71025</t>
        </is>
      </c>
      <c r="B8" s="22" t="inlineStr">
        <is>
          <t>Graduated Lab-Grown Diamond Tennis Necklace 71025</t>
        </is>
      </c>
      <c r="C8" s="22" t="inlineStr">
        <is>
          <t>Missing "Chains" tag</t>
        </is>
      </c>
      <c r="D8" s="22" t="inlineStr">
        <is>
          <t>Add "Chains" tag</t>
        </is>
      </c>
    </row>
    <row r="9">
      <c r="A9" s="23" t="inlineStr">
        <is>
          <t>66578</t>
        </is>
      </c>
      <c r="B9" s="23" t="inlineStr">
        <is>
          <t>14K Gold Strawberry Diamond Tennis Choker 66578</t>
        </is>
      </c>
      <c r="C9" s="23" t="inlineStr">
        <is>
          <t>Missing "Chains" tag</t>
        </is>
      </c>
      <c r="D9" s="23" t="inlineStr">
        <is>
          <t>Add "Chains" tag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2026-09-30T16:55:33Z</dcterms:created>
  <dcterms:modified xsi:type="dcterms:W3CDTF">2026-09-30T16:55:33Z</dcterms:modified>
</cp:coreProperties>
</file>